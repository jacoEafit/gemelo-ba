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1620" tabRatio="600" firstSheet="0" activeTab="0" autoFilterDateGrouping="1"/>
  </bookViews>
  <sheets>
    <sheet name="Instrucciones" sheetId="1" state="visible" r:id="rId1"/>
    <sheet name="1. Fuentes" sheetId="2" state="visible" r:id="rId2"/>
    <sheet name="2. Diccionario" sheetId="3" state="visible" r:id="rId3"/>
    <sheet name="3. Bitácora IA" sheetId="4" state="visible" r:id="rId4"/>
    <sheet name="Resume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55555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sz val="14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sz val="10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0" borderId="0" pivotButton="0" quotePrefix="0" xfId="0"/>
    <xf numFmtId="0" fontId="9" fillId="0" borderId="1" pivotButton="0" quotePrefix="0" xfId="0"/>
    <xf numFmtId="0" fontId="9" fillId="0" borderId="0" pivotButton="0" quotePrefix="0" xfId="0"/>
    <xf numFmtId="9" fontId="9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tabSelected="1" workbookViewId="0">
      <selection activeCell="A1" sqref="A1"/>
    </sheetView>
  </sheetViews>
  <sheetFormatPr baseColWidth="10" defaultColWidth="8.83203125" defaultRowHeight="15"/>
  <cols>
    <col width="4" customWidth="1" min="1" max="1"/>
    <col width="110" customWidth="1" min="2" max="2"/>
  </cols>
  <sheetData>
    <row r="1" ht="19" customHeight="1">
      <c r="B1" s="1" t="inlineStr">
        <is>
          <t>Taller de datos · Entrega 1 · El lago y su diccionario</t>
        </is>
      </c>
    </row>
    <row r="2">
      <c r="B2" s="2" t="inlineStr">
        <is>
          <t>Tópicos de Sistemas de Información · Profesor Santiago Jiménez Londoño · topicos-si.vercel.app/Tallerdatos</t>
        </is>
      </c>
    </row>
    <row r="3">
      <c r="B3" s="3" t="n"/>
    </row>
    <row r="4" ht="16" customHeight="1">
      <c r="B4" s="4" t="inlineStr">
        <is>
          <t>Datos del grupo</t>
        </is>
      </c>
    </row>
    <row r="5">
      <c r="B5" s="5" t="inlineStr">
        <is>
          <t>Ciudad elegida: Buenos Aires (Ciudad Autónoma de Buenos Aires, Argentina)</t>
        </is>
      </c>
    </row>
    <row r="6">
      <c r="B6" s="5" t="inlineStr">
        <is>
          <t>Integrantes:</t>
        </is>
      </c>
    </row>
    <row r="7">
      <c r="B7" s="5" t="inlineStr">
        <is>
          <t>Enlace al repositorio o a la carpeta del lago: (completar) · carpeta del proyecto: lago/ · generado por entrega/generar_entrega1.py</t>
        </is>
      </c>
    </row>
    <row r="8">
      <c r="B8" s="3" t="n"/>
    </row>
    <row r="9" ht="16" customHeight="1">
      <c r="B9" s="4" t="inlineStr">
        <is>
          <t>Qué entregan en este archivo</t>
        </is>
      </c>
    </row>
    <row r="10" ht="29" customHeight="1">
      <c r="B10" s="3" t="inlineStr">
        <is>
          <t>1. Fuentes · una fila por cada fuente que encontraron en el rastreo, entre o no al lago. Las descartadas también cuentan: explican las decisiones.</t>
        </is>
      </c>
    </row>
    <row r="11">
      <c r="B11" s="3" t="inlineStr">
        <is>
          <t>2. Diccionario · una fila por cada campo (columna o clave del JSON) que quedó en el lago. Si un campo no está aquí, no existe.</t>
        </is>
      </c>
    </row>
    <row r="12">
      <c r="B12" s="3" t="inlineStr">
        <is>
          <t>3. Bitácora IA · qué le encargaron a la IA durante la búsqueda, qué respondió y cómo lo comprobaron.</t>
        </is>
      </c>
    </row>
    <row r="13">
      <c r="B13" s="3" t="inlineStr">
        <is>
          <t>Resumen · se llena solo con fórmulas. No lo editen.</t>
        </is>
      </c>
    </row>
    <row r="14">
      <c r="B14" s="3" t="n"/>
    </row>
    <row r="15" ht="16" customHeight="1">
      <c r="B15" s="4" t="inlineStr">
        <is>
          <t>Cómo llenarlo</t>
        </is>
      </c>
    </row>
    <row r="16" ht="29" customHeight="1">
      <c r="B16" s="3" t="inlineStr">
        <is>
          <t>• Escriban solo en las celdas amarillas. La fila gris de cada hoja es un ejemplo (Medellín): pueden borrarla o dejarla, el resumen no la cuenta.</t>
        </is>
      </c>
    </row>
    <row r="17">
      <c r="B17" s="3" t="inlineStr">
        <is>
          <t>• El ID de fuente (F01, F02…) une las tres hojas: úsenlo igual en Fuentes, Diccionario y Bitácora IA.</t>
        </is>
      </c>
    </row>
    <row r="18">
      <c r="B18" s="3" t="inlineStr">
        <is>
          <t>• Las columnas con lista desplegable solo aceptan esas opciones.</t>
        </is>
      </c>
    </row>
    <row r="19">
      <c r="B19" s="3" t="inlineStr">
        <is>
          <t>• La licencia se copia tal como aparece en la fuente. Si la fuente no dice nada, escriban «no declara»: no la supongan.</t>
        </is>
      </c>
    </row>
    <row r="20">
      <c r="B20" s="3" t="inlineStr">
        <is>
          <t>• «Fecha en que la probaron» es el día en que la descarga o la API respondió de verdad, no el día en que la IA la mencionó.</t>
        </is>
      </c>
    </row>
    <row r="21">
      <c r="B21" s="3" t="inlineStr">
        <is>
          <t>• Una fuente que la IA nombró y que ustedes no pudieron abrir va igual en Fuentes, con estado «No responde» o «No existe».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28" customWidth="1" min="2" max="2"/>
    <col width="22" customWidth="1" min="3" max="3"/>
    <col width="18" customWidth="1" min="4" max="4"/>
    <col width="36" customWidth="1" min="5" max="5"/>
    <col width="12" customWidth="1" min="6" max="6"/>
    <col width="18" customWidth="1" min="7" max="7"/>
    <col width="22" customWidth="1" min="8" max="8"/>
    <col width="18" customWidth="1" min="9" max="9"/>
    <col width="16" customWidth="1" min="10" max="10"/>
    <col width="14" customWidth="1" min="11" max="13"/>
    <col width="20" customWidth="1" min="14" max="14"/>
    <col width="26" customWidth="1" min="15" max="15"/>
    <col width="32" customWidth="1" min="16" max="16"/>
  </cols>
  <sheetData>
    <row r="1" ht="18" customHeight="1">
      <c r="A1" s="6" t="inlineStr">
        <is>
          <t>1. Catálogo de fuentes</t>
        </is>
      </c>
    </row>
    <row r="2">
      <c r="A2" s="7" t="inlineStr">
        <is>
          <t>Una fila por fuente encontrada. Escriban en las celdas amarillas; la fila gris es un ejemplo.</t>
        </is>
      </c>
    </row>
    <row r="3" ht="42" customHeight="1">
      <c r="A3" s="8" t="inlineStr">
        <is>
          <t>ID fuente</t>
        </is>
      </c>
      <c r="B3" s="8" t="inlineStr">
        <is>
          <t>Nombre del conjunto de datos</t>
        </is>
      </c>
      <c r="C3" s="8" t="inlineStr">
        <is>
          <t>Entidad que lo publica</t>
        </is>
      </c>
      <c r="D3" s="8" t="inlineStr">
        <is>
          <t>Tipo de publicador</t>
        </is>
      </c>
      <c r="E3" s="8" t="inlineStr">
        <is>
          <t>URL exacta (descarga o API)</t>
        </is>
      </c>
      <c r="F3" s="8" t="inlineStr">
        <is>
          <t>Formato</t>
        </is>
      </c>
      <c r="G3" s="8" t="inlineStr">
        <is>
          <t>Cómo se obtiene</t>
        </is>
      </c>
      <c r="H3" s="8" t="inlineStr">
        <is>
          <t>Licencia (tal como aparece)</t>
        </is>
      </c>
      <c r="I3" s="8" t="inlineStr">
        <is>
          <t>¿Trae datos de personas?</t>
        </is>
      </c>
      <c r="J3" s="8" t="inlineStr">
        <is>
          <t>Cobertura geográfica</t>
        </is>
      </c>
      <c r="K3" s="8" t="inlineStr">
        <is>
          <t>Periodo que cubre</t>
        </is>
      </c>
      <c r="L3" s="8" t="inlineStr">
        <is>
          <t>Frecuencia de actualización</t>
        </is>
      </c>
      <c r="M3" s="8" t="inlineStr">
        <is>
          <t>Fecha en que la probaron (AAAA-MM-DD)</t>
        </is>
      </c>
      <c r="N3" s="8" t="inlineStr">
        <is>
          <t>Estado</t>
        </is>
      </c>
      <c r="O3" s="8" t="inlineStr">
        <is>
          <t>Cómo la encontraron (IA o búsqueda)</t>
        </is>
      </c>
      <c r="P3" s="8" t="inlineStr">
        <is>
          <t>Observaciones</t>
        </is>
      </c>
    </row>
    <row r="4" ht="52" customHeight="1">
      <c r="A4" s="9" t="inlineStr">
        <is>
          <t>F01</t>
        </is>
      </c>
      <c r="B4" s="9" t="inlineStr">
        <is>
          <t>Vistas mensuales del artículo «Medellín» en Wikipedia</t>
        </is>
      </c>
      <c r="C4" s="9" t="inlineStr">
        <is>
          <t>Wikimedia Foundation</t>
        </is>
      </c>
      <c r="D4" s="9" t="inlineStr">
        <is>
          <t>Plataforma colaborativa</t>
        </is>
      </c>
      <c r="E4" s="9" t="inlineStr">
        <is>
          <t>https://wikimedia.org/api/rest_v1/metrics/pageviews/per-article/es.wikipedia/all-access/user/Medellín/monthly/20250101/20260831</t>
        </is>
      </c>
      <c r="F4" s="9" t="inlineStr">
        <is>
          <t>JSON</t>
        </is>
      </c>
      <c r="G4" s="9" t="inlineStr">
        <is>
          <t>API sin llave</t>
        </is>
      </c>
      <c r="H4" s="9" t="inlineStr">
        <is>
          <t>CC0</t>
        </is>
      </c>
      <c r="I4" s="9" t="inlineStr">
        <is>
          <t>No</t>
        </is>
      </c>
      <c r="J4" s="9" t="inlineStr">
        <is>
          <t>Ciudad (artículo)</t>
        </is>
      </c>
      <c r="K4" s="9" t="inlineStr">
        <is>
          <t>2025-01 a 2026-08</t>
        </is>
      </c>
      <c r="L4" s="9" t="inlineStr">
        <is>
          <t>Mensual</t>
        </is>
      </c>
      <c r="M4" s="9" t="inlineStr">
        <is>
          <t>2026-09-14</t>
        </is>
      </c>
      <c r="N4" s="9" t="inlineStr">
        <is>
          <t>Integrada al lago</t>
        </is>
      </c>
      <c r="O4" s="9" t="inlineStr">
        <is>
          <t>Se la pedimos a la IA como «fuente de interés público sobre la ciudad»; la probamos con curl</t>
        </is>
      </c>
      <c r="P4" s="9" t="inlineStr">
        <is>
          <t>Cuenta personas, no bots (agente «user»).</t>
        </is>
      </c>
    </row>
    <row r="5">
      <c r="A5" s="10" t="inlineStr">
        <is>
          <t>F01</t>
        </is>
      </c>
      <c r="B5" s="10" t="inlineStr">
        <is>
          <t>Barrios</t>
        </is>
      </c>
      <c r="C5" s="10" t="inlineStr">
        <is>
          <t>GCBA · Secretaría de Innovación y Transformación Digital</t>
        </is>
      </c>
      <c r="D5" s="10" t="inlineStr">
        <is>
          <t>Entidad pública</t>
        </is>
      </c>
      <c r="E5" s="10" t="inlineStr">
        <is>
          <t>https://cdn.buenosaires.gob.ar/datosabiertos/datasets/innovacion-transformacion-digital/barrios/barrios.geojson</t>
        </is>
      </c>
      <c r="F5" s="10" t="inlineStr">
        <is>
          <t>GeoJSON</t>
        </is>
      </c>
      <c r="G5" s="10" t="inlineStr">
        <is>
          <t>Descarga directa</t>
        </is>
      </c>
      <c r="H5" s="10" t="inlineStr">
        <is>
          <t>CC-BY-2.5-AR</t>
        </is>
      </c>
      <c r="I5" s="10" t="inlineStr">
        <is>
          <t>No</t>
        </is>
      </c>
      <c r="J5" s="10" t="inlineStr">
        <is>
          <t>Ciudad, 48 barrios</t>
        </is>
      </c>
      <c r="K5" s="10" t="inlineStr">
        <is>
          <t>Límites vigentes</t>
        </is>
      </c>
      <c r="L5" s="10" t="inlineStr">
        <is>
          <t>No se sabe</t>
        </is>
      </c>
      <c r="M5" s="10" t="inlineStr">
        <is>
          <t>2026-10-06</t>
        </is>
      </c>
      <c r="N5" s="10" t="inlineStr">
        <is>
          <t>Integrada al lago</t>
        </is>
      </c>
      <c r="O5" s="10" t="inlineStr">
        <is>
          <t>IA (Claude Code): búsqueda en el catálogo CKAN de BA Data; probada con descarga del script</t>
        </is>
      </c>
      <c r="P5" s="10" t="inlineStr">
        <is>
          <t>id en el lago: ba_barrios. Polígonos simplificados a ~10 m en lago/geo/barrios.geojson</t>
        </is>
      </c>
    </row>
    <row r="6">
      <c r="A6" s="10" t="inlineStr">
        <is>
          <t>F02</t>
        </is>
      </c>
      <c r="B6" s="10" t="inlineStr">
        <is>
          <t>Comunas</t>
        </is>
      </c>
      <c r="C6" s="10" t="inlineStr">
        <is>
          <t>GCBA · Secretaría de Innovación y Transformación Digital</t>
        </is>
      </c>
      <c r="D6" s="10" t="inlineStr">
        <is>
          <t>Entidad pública</t>
        </is>
      </c>
      <c r="E6" s="10" t="inlineStr">
        <is>
          <t>https://cdn.buenosaires.gob.ar/datosabiertos/datasets/innovacion-transformacion-digital/comunas/comunas.geojson</t>
        </is>
      </c>
      <c r="F6" s="10" t="inlineStr">
        <is>
          <t>GeoJSON</t>
        </is>
      </c>
      <c r="G6" s="10" t="inlineStr">
        <is>
          <t>Descarga directa</t>
        </is>
      </c>
      <c r="H6" s="10" t="inlineStr">
        <is>
          <t>CC-BY-2.5-AR</t>
        </is>
      </c>
      <c r="I6" s="10" t="inlineStr">
        <is>
          <t>No</t>
        </is>
      </c>
      <c r="J6" s="10" t="inlineStr">
        <is>
          <t>Ciudad, 15 comunas</t>
        </is>
      </c>
      <c r="K6" s="10" t="inlineStr">
        <is>
          <t>Límites vigentes</t>
        </is>
      </c>
      <c r="L6" s="10" t="inlineStr">
        <is>
          <t>No se sabe</t>
        </is>
      </c>
      <c r="M6" s="10" t="inlineStr">
        <is>
          <t>2026-10-06</t>
        </is>
      </c>
      <c r="N6" s="10" t="inlineStr">
        <is>
          <t>Integrada al lago</t>
        </is>
      </c>
      <c r="O6" s="10" t="inlineStr">
        <is>
          <t>IA (Claude Code): búsqueda en el catálogo CKAN de BA Data; probada con descarga del script</t>
        </is>
      </c>
      <c r="P6" s="10" t="inlineStr">
        <is>
          <t>id en el lago: ba_comunas. Polígonos simplificados en lago/geo/comunas.geojson</t>
        </is>
      </c>
    </row>
    <row r="7">
      <c r="A7" s="10" t="inlineStr">
        <is>
          <t>F03</t>
        </is>
      </c>
      <c r="B7" s="10" t="inlineStr">
        <is>
          <t>Estructura demográfica</t>
        </is>
      </c>
      <c r="C7" s="10" t="inlineStr">
        <is>
          <t>GCBA · Dirección General de Estadísticas y Censos</t>
        </is>
      </c>
      <c r="D7" s="10" t="inlineStr">
        <is>
          <t>Entidad pública</t>
        </is>
      </c>
      <c r="E7" s="10" t="inlineStr">
        <is>
          <t>https://cdn.buenosaires.gob.ar/datosabiertos/datasets/barrios/caba_pob_barrios_2010.csv</t>
        </is>
      </c>
      <c r="F7" s="10" t="inlineStr">
        <is>
          <t>CSV</t>
        </is>
      </c>
      <c r="G7" s="10" t="inlineStr">
        <is>
          <t>Descarga directa</t>
        </is>
      </c>
      <c r="H7" s="10" t="inlineStr">
        <is>
          <t>CC-BY-2.5-AR</t>
        </is>
      </c>
      <c r="I7" s="10" t="inlineStr">
        <is>
          <t>Solo conteos por zona</t>
        </is>
      </c>
      <c r="J7" s="10" t="inlineStr">
        <is>
          <t>Ciudad, 48 barrios</t>
        </is>
      </c>
      <c r="K7" s="10" t="inlineStr">
        <is>
          <t>Censo 2010</t>
        </is>
      </c>
      <c r="L7" s="10" t="inlineStr">
        <is>
          <t>Única vez</t>
        </is>
      </c>
      <c r="M7" s="10" t="inlineStr">
        <is>
          <t>2026-10-06</t>
        </is>
      </c>
      <c r="N7" s="10" t="inlineStr">
        <is>
          <t>Integrada al lago</t>
        </is>
      </c>
      <c r="O7" s="10" t="inlineStr">
        <is>
          <t>IA (Claude Code): búsqueda en el catálogo CKAN de BA Data; probada con descarga del script</t>
        </is>
      </c>
      <c r="P7" s="10" t="inlineStr">
        <is>
          <t>id en el lago: ba_demografia. Es la única población por barrio abierta: Censo 2010. No hay 2022 por barrio.</t>
        </is>
      </c>
    </row>
    <row r="8">
      <c r="A8" s="10" t="inlineStr">
        <is>
          <t>F04</t>
        </is>
      </c>
      <c r="B8" s="10" t="inlineStr">
        <is>
          <t>Censo Nacional 2022, resultados definitivos CABA (INDEC; DGEyC GCBA, informe 1877)</t>
        </is>
      </c>
      <c r="C8" s="10" t="inlineStr">
        <is>
          <t>GCBA · DGEyC, con base en INDEC (informe 1877)</t>
        </is>
      </c>
      <c r="D8" s="10" t="inlineStr">
        <is>
          <t>Entidad pública</t>
        </is>
      </c>
      <c r="E8" s="10" t="inlineStr">
        <is>
          <t>https://www.estadisticaciudad.gob.ar/eyc/wp-content/uploads/2024/07/ir_2024_1877.pdf</t>
        </is>
      </c>
      <c r="F8" s="10" t="inlineStr">
        <is>
          <t>PDF</t>
        </is>
      </c>
      <c r="G8" s="10" t="inlineStr">
        <is>
          <t>Solo PDF o página</t>
        </is>
      </c>
      <c r="H8" s="10" t="inlineStr">
        <is>
          <t>no declara</t>
        </is>
      </c>
      <c r="I8" s="10" t="inlineStr">
        <is>
          <t>Solo conteos por zona</t>
        </is>
      </c>
      <c r="J8" s="10" t="inlineStr">
        <is>
          <t>Ciudad, 15 comunas</t>
        </is>
      </c>
      <c r="K8" s="10" t="inlineStr">
        <is>
          <t>Censo 2022 (definitivo)</t>
        </is>
      </c>
      <c r="L8" s="10" t="inlineStr">
        <is>
          <t>Única vez</t>
        </is>
      </c>
      <c r="M8" s="10" t="inlineStr">
        <is>
          <t>2026-10-06</t>
        </is>
      </c>
      <c r="N8" s="10" t="inlineStr">
        <is>
          <t>Integrada al lago</t>
        </is>
      </c>
      <c r="O8" s="10" t="inlineStr">
        <is>
          <t>IA (Claude Code): búsqueda web del informe oficial; cifras transcritas a mano y verificadas contra el total</t>
        </is>
      </c>
      <c r="P8" s="10" t="inlineStr">
        <is>
          <t>id en el lago: dgeyc_censo2022. Estado «declarado»: Anexo 1, cuadro C.1, transcrito en ingesta/datos/censo2022_comunas.csv; la suma de comunas = total CABA</t>
        </is>
      </c>
    </row>
    <row r="9">
      <c r="A9" s="10" t="inlineStr">
        <is>
          <t>F05</t>
        </is>
      </c>
      <c r="B9" s="10" t="inlineStr">
        <is>
          <t>Delitos</t>
        </is>
      </c>
      <c r="C9" s="10" t="inlineStr">
        <is>
          <t>GCBA · Ministerio de Justicia y Seguridad</t>
        </is>
      </c>
      <c r="D9" s="10" t="inlineStr">
        <is>
          <t>Entidad pública</t>
        </is>
      </c>
      <c r="E9" s="10" t="inlineStr">
        <is>
          <t>https://cdn.buenosaires.gob.ar/datosabiertos/datasets/ministerio-de-justicia-y-seguridad/delitos/delitos_2024.csv ; https://cdn.buenosaires.gob.ar/datosabiertos/datasets/ministerio-de-justicia-y-seguridad/delitos/delitos_2025.csv</t>
        </is>
      </c>
      <c r="F9" s="10" t="inlineStr">
        <is>
          <t>CSV</t>
        </is>
      </c>
      <c r="G9" s="10" t="inlineStr">
        <is>
          <t>Descarga directa</t>
        </is>
      </c>
      <c r="H9" s="10" t="inlineStr">
        <is>
          <t>Creative Commons Attribution</t>
        </is>
      </c>
      <c r="I9" s="10" t="inlineStr">
        <is>
          <t>Personas identificables</t>
        </is>
      </c>
      <c r="J9" s="10" t="inlineStr">
        <is>
          <t>Ciudad, por barrio y comuna</t>
        </is>
      </c>
      <c r="K9" s="10" t="inlineStr">
        <is>
          <t>2024-01 a 2025-12</t>
        </is>
      </c>
      <c r="L9" s="10" t="inlineStr">
        <is>
          <t>Anual</t>
        </is>
      </c>
      <c r="M9" s="10" t="inlineStr">
        <is>
          <t>2026-10-06</t>
        </is>
      </c>
      <c r="N9" s="10" t="inlineStr">
        <is>
          <t>Integrada al lago</t>
        </is>
      </c>
      <c r="O9" s="10" t="inlineStr">
        <is>
          <t>IA (Claude Code): búsqueda en el catálogo CKAN de BA Data; probada con descarga del script</t>
        </is>
      </c>
      <c r="P9" s="10" t="inlineStr">
        <is>
          <t>id en el lago: ba_delitos. Cada fila es un hecho con fecha, franja y coordenadas: una víctima puede ser determinable. Al lago solo pasan conteos por barrio, tipo y mes. Hay archivos desde 2016 sin cargar.</t>
        </is>
      </c>
    </row>
    <row r="10">
      <c r="A10" s="10" t="inlineStr">
        <is>
          <t>F06</t>
        </is>
      </c>
      <c r="B10" s="10" t="inlineStr">
        <is>
          <t>Presupuesto Ejecutado 2026</t>
        </is>
      </c>
      <c r="C10" s="10" t="inlineStr">
        <is>
          <t>GCBA · Ministerio de Hacienda y Finanzas</t>
        </is>
      </c>
      <c r="D10" s="10" t="inlineStr">
        <is>
          <t>Entidad pública</t>
        </is>
      </c>
      <c r="E10" s="10" t="inlineStr">
        <is>
          <t>https://cdn.buenosaires.gob.ar/datosabiertos/datasets/ministerio-de-economia-y-finanzas/presupuesto-ejecutado-2026/presupuesto-ejecutado-2026-2.csv</t>
        </is>
      </c>
      <c r="F10" s="10" t="inlineStr">
        <is>
          <t>CSV</t>
        </is>
      </c>
      <c r="G10" s="10" t="inlineStr">
        <is>
          <t>Descarga directa</t>
        </is>
      </c>
      <c r="H10" s="10" t="inlineStr">
        <is>
          <t>Creative Commons Attribution</t>
        </is>
      </c>
      <c r="I10" s="10" t="inlineStr">
        <is>
          <t>No</t>
        </is>
      </c>
      <c r="J10" s="10" t="inlineStr">
        <is>
          <t>Ciudad (jurisdicción, finalidad, ubicación geográfica)</t>
        </is>
      </c>
      <c r="K10" s="10" t="inlineStr">
        <is>
          <t>2026-01 a 2026-06 (acumulado)</t>
        </is>
      </c>
      <c r="L10" s="10" t="inlineStr">
        <is>
          <t>Trimestral</t>
        </is>
      </c>
      <c r="M10" s="10" t="inlineStr">
        <is>
          <t>2026-10-06</t>
        </is>
      </c>
      <c r="N10" s="10" t="inlineStr">
        <is>
          <t>Integrada al lago</t>
        </is>
      </c>
      <c r="O10" s="10" t="inlineStr">
        <is>
          <t>IA (Claude Code): búsqueda en el catálogo CKAN de BA Data; probada con descarga del script</t>
        </is>
      </c>
      <c r="P10" s="10" t="inlineStr">
        <is>
          <t>id en el lago: ba_presupuesto. Montos con punto de miles; el trimestre es acumulado desde enero.</t>
        </is>
      </c>
    </row>
    <row r="11">
      <c r="A11" s="10" t="inlineStr">
        <is>
          <t>F07</t>
        </is>
      </c>
      <c r="B11" s="10" t="inlineStr">
        <is>
          <t>Presupuesto Ejecutado</t>
        </is>
      </c>
      <c r="C11" s="10" t="inlineStr">
        <is>
          <t>GCBA · Ministerio de Hacienda y Finanzas</t>
        </is>
      </c>
      <c r="D11" s="10" t="inlineStr">
        <is>
          <t>Entidad pública</t>
        </is>
      </c>
      <c r="E11" s="10" t="inlineStr">
        <is>
          <t>https://cdn.buenosaires.gob.ar/datosabiertos/datasets/ministerio-de-economia-y-finanzas/presupuesto-ejecutado/presupuesto-ejecutado-2025-4.csv</t>
        </is>
      </c>
      <c r="F11" s="10" t="inlineStr">
        <is>
          <t>CSV</t>
        </is>
      </c>
      <c r="G11" s="10" t="inlineStr">
        <is>
          <t>Descarga directa</t>
        </is>
      </c>
      <c r="H11" s="10" t="inlineStr">
        <is>
          <t>CC-BY-2.5-AR</t>
        </is>
      </c>
      <c r="I11" s="10" t="inlineStr">
        <is>
          <t>No</t>
        </is>
      </c>
      <c r="J11" s="10" t="inlineStr">
        <is>
          <t>Ciudad</t>
        </is>
      </c>
      <c r="K11" s="10" t="inlineStr">
        <is>
          <t>2025 (año cerrado)</t>
        </is>
      </c>
      <c r="L11" s="10" t="inlineStr">
        <is>
          <t>Trimestral</t>
        </is>
      </c>
      <c r="M11" s="10" t="inlineStr">
        <is>
          <t>2026-10-06</t>
        </is>
      </c>
      <c r="N11" s="10" t="inlineStr">
        <is>
          <t>Integrada al lago</t>
        </is>
      </c>
      <c r="O11" s="10" t="inlineStr">
        <is>
          <t>IA (Claude Code): búsqueda en el catálogo CKAN de BA Data; probada con descarga del script</t>
        </is>
      </c>
      <c r="P11" s="10" t="inlineStr">
        <is>
          <t>id en el lago: ba_presupuesto_historico. Mismo ministerio que la anterior, otro conjunto. Trae 2013-2025; solo se cargó 2025.</t>
        </is>
      </c>
    </row>
    <row r="12">
      <c r="A12" s="10" t="inlineStr">
        <is>
          <t>F08</t>
        </is>
      </c>
      <c r="B12" s="10" t="inlineStr">
        <is>
          <t>Índice de Precios al Consumidor de la Ciudad de Buenos Aires (IPCBA), Estadística Ciudad; republicado por la Subsecretaría de Programación Macroeconómica</t>
        </is>
      </c>
      <c r="C12" s="10" t="inlineStr">
        <is>
          <t>GCBA · Dirección General de Estadísticas y Censos (republicado por la Subsecretaría de Programación Macroeconómica)</t>
        </is>
      </c>
      <c r="D12" s="10" t="inlineStr">
        <is>
          <t>Entidad pública</t>
        </is>
      </c>
      <c r="E12" s="10" t="inlineStr">
        <is>
          <t>https://apis.datos.gob.ar/series/api/series/?ids=193.2_NIVEL_GENERAL_2021_0_13_2</t>
        </is>
      </c>
      <c r="F12" s="10" t="inlineStr">
        <is>
          <t>JSON</t>
        </is>
      </c>
      <c r="G12" s="10" t="inlineStr">
        <is>
          <t>API sin llave</t>
        </is>
      </c>
      <c r="H12" s="10" t="inlineStr">
        <is>
          <t>Creative Commons Attribution 4.0</t>
        </is>
      </c>
      <c r="I12" s="10" t="inlineStr">
        <is>
          <t>No</t>
        </is>
      </c>
      <c r="J12" s="10" t="inlineStr">
        <is>
          <t>Ciudad</t>
        </is>
      </c>
      <c r="K12" s="10" t="inlineStr">
        <is>
          <t>2022-02 a 2026-08</t>
        </is>
      </c>
      <c r="L12" s="10" t="inlineStr">
        <is>
          <t>Mensual</t>
        </is>
      </c>
      <c r="M12" s="10" t="inlineStr">
        <is>
          <t>2026-10-06</t>
        </is>
      </c>
      <c r="N12" s="10" t="inlineStr">
        <is>
          <t>Integrada al lago</t>
        </is>
      </c>
      <c r="O12" s="10" t="inlineStr">
        <is>
          <t>IA (Claude Code): búsqueda en la API de series de datos.gob.ar; probada con la consulta del script</t>
        </is>
      </c>
      <c r="P12" s="10" t="inlineStr">
        <is>
          <t>id en el lago: ipcba. Se prefirió al IPC-GBA del INDEC porque mide precios de la Ciudad. Se usa para deflactar el presupuesto.</t>
        </is>
      </c>
    </row>
    <row r="13">
      <c r="A13" s="10" t="inlineStr">
        <is>
          <t>F09</t>
        </is>
      </c>
      <c r="B13" s="10" t="inlineStr">
        <is>
          <t>Asalariados registrados del sector privado por provincia (SIPA), Ministerio de Economía</t>
        </is>
      </c>
      <c r="C13" s="10" t="inlineStr">
        <is>
          <t>Ministerio de Economía de la Nación (SIPA)</t>
        </is>
      </c>
      <c r="D13" s="10" t="inlineStr">
        <is>
          <t>Entidad pública</t>
        </is>
      </c>
      <c r="E13" s="10" t="inlineStr">
        <is>
          <t>https://apis.datos.gob.ar/series/api/series/?ids=154.2_CABA_S_0_0_4</t>
        </is>
      </c>
      <c r="F13" s="10" t="inlineStr">
        <is>
          <t>JSON</t>
        </is>
      </c>
      <c r="G13" s="10" t="inlineStr">
        <is>
          <t>API sin llave</t>
        </is>
      </c>
      <c r="H13" s="10" t="inlineStr">
        <is>
          <t>Creative Commons Attribution 4.0</t>
        </is>
      </c>
      <c r="I13" s="10" t="inlineStr">
        <is>
          <t>Solo conteos por zona</t>
        </is>
      </c>
      <c r="J13" s="10" t="inlineStr">
        <is>
          <t>Ciudad (lugar de trabajo)</t>
        </is>
      </c>
      <c r="K13" s="10" t="inlineStr">
        <is>
          <t>2018-01 a 2026-06</t>
        </is>
      </c>
      <c r="L13" s="10" t="inlineStr">
        <is>
          <t>Mensual</t>
        </is>
      </c>
      <c r="M13" s="10" t="inlineStr">
        <is>
          <t>2026-10-06</t>
        </is>
      </c>
      <c r="N13" s="10" t="inlineStr">
        <is>
          <t>Integrada al lago</t>
        </is>
      </c>
      <c r="O13" s="10" t="inlineStr">
        <is>
          <t>IA (Claude Code): búsqueda en la API de series de datos.gob.ar; probada con la consulta del script</t>
        </is>
      </c>
      <c r="P13" s="10" t="inlineStr">
        <is>
          <t>id en el lago: sipa_caba. Cuenta puestos con lugar de trabajo en CABA, no residentes.</t>
        </is>
      </c>
    </row>
    <row r="14">
      <c r="A14" s="10" t="inlineStr">
        <is>
          <t>F10</t>
        </is>
      </c>
      <c r="B14" s="10" t="inlineStr">
        <is>
          <t>Alojamientos Turísticos</t>
        </is>
      </c>
      <c r="C14" s="10" t="inlineStr">
        <is>
          <t>GCBA · Ente de Turismo (ENTUR)</t>
        </is>
      </c>
      <c r="D14" s="10" t="inlineStr">
        <is>
          <t>Entidad pública</t>
        </is>
      </c>
      <c r="E14" s="10" t="inlineStr">
        <is>
          <t>https://cdn.buenosaires.gob.ar/datosabiertos/datasets/ente-de-turismo/alojamientos-turisticos/alojamientos_turisticos.csv</t>
        </is>
      </c>
      <c r="F14" s="10" t="inlineStr">
        <is>
          <t>CSV</t>
        </is>
      </c>
      <c r="G14" s="10" t="inlineStr">
        <is>
          <t>Descarga directa</t>
        </is>
      </c>
      <c r="H14" s="10" t="inlineStr">
        <is>
          <t>CC-BY-2.5-AR</t>
        </is>
      </c>
      <c r="I14" s="10" t="inlineStr">
        <is>
          <t>Personas identificables</t>
        </is>
      </c>
      <c r="J14" s="10" t="inlineStr">
        <is>
          <t>Ciudad</t>
        </is>
      </c>
      <c r="K14" s="10" t="inlineStr">
        <is>
          <t>Registro vigente</t>
        </is>
      </c>
      <c r="L14" s="10" t="inlineStr">
        <is>
          <t>No se sabe</t>
        </is>
      </c>
      <c r="M14" s="10" t="inlineStr">
        <is>
          <t>2026-10-06</t>
        </is>
      </c>
      <c r="N14" s="10" t="inlineStr">
        <is>
          <t>Integrada al lago</t>
        </is>
      </c>
      <c r="O14" s="10" t="inlineStr">
        <is>
          <t>IA (Claude Code): búsqueda en el catálogo CKAN de BA Data; probada con descarga del script</t>
        </is>
      </c>
      <c r="P14" s="10" t="inlineStr">
        <is>
          <t>id en el lago: ba_alojamientos. Trae teléfono, correo y web de cada alojamiento (pueden ser de personas): no se copian al lago.</t>
        </is>
      </c>
    </row>
    <row r="15">
      <c r="A15" s="10" t="inlineStr">
        <is>
          <t>F11</t>
        </is>
      </c>
      <c r="B15" s="10" t="inlineStr">
        <is>
          <t>Encuesta de Ocupación Hotelera y Parahotelera (EOH), INDEC y Subsecretaría de Turismo</t>
        </is>
      </c>
      <c r="C15" s="10" t="inlineStr">
        <is>
          <t>INDEC y Subsecretaría de Turismo de la Nación (EOH)</t>
        </is>
      </c>
      <c r="D15" s="10" t="inlineStr">
        <is>
          <t>Entidad pública</t>
        </is>
      </c>
      <c r="E15" s="10" t="inlineStr">
        <is>
          <t>https://apis.datos.gob.ar/series/api/series/?ids=eoh_plazas_15,eoh_viaj_loc7,eoh_viaj_loc8,eoh_viaj_loc9,eoh_pern_loc_7</t>
        </is>
      </c>
      <c r="F15" s="10" t="inlineStr">
        <is>
          <t>JSON</t>
        </is>
      </c>
      <c r="G15" s="10" t="inlineStr">
        <is>
          <t>API sin llave</t>
        </is>
      </c>
      <c r="H15" s="10" t="inlineStr">
        <is>
          <t>Creative Commons Attribution 4.0</t>
        </is>
      </c>
      <c r="I15" s="10" t="inlineStr">
        <is>
          <t>Solo conteos por zona</t>
        </is>
      </c>
      <c r="J15" s="10" t="inlineStr">
        <is>
          <t>Ciudad (localidad CABA)</t>
        </is>
      </c>
      <c r="K15" s="10" t="inlineStr">
        <is>
          <t>2018-01 a 2025-08</t>
        </is>
      </c>
      <c r="L15" s="10" t="inlineStr">
        <is>
          <t>Mensual</t>
        </is>
      </c>
      <c r="M15" s="10" t="inlineStr">
        <is>
          <t>2026-10-06</t>
        </is>
      </c>
      <c r="N15" s="10" t="inlineStr">
        <is>
          <t>Integrada al lago</t>
        </is>
      </c>
      <c r="O15" s="10" t="inlineStr">
        <is>
          <t>IA (Claude Code): búsqueda en la API de series de datos.gob.ar; probada con la consulta del script</t>
        </is>
      </c>
      <c r="P15" s="10" t="inlineStr">
        <is>
          <t>id en el lago: eoh_caba. Encuesta a hoteles y parahoteles: no incluye alquileres temporarios. Rezago de ~1 año.</t>
        </is>
      </c>
    </row>
    <row r="16">
      <c r="A16" s="10" t="inlineStr">
        <is>
          <t>F12</t>
        </is>
      </c>
      <c r="B16" s="10" t="inlineStr">
        <is>
          <t>Wikimedia Pageviews API</t>
        </is>
      </c>
      <c r="C16" s="10" t="inlineStr">
        <is>
          <t>Wikimedia Foundation</t>
        </is>
      </c>
      <c r="D16" s="10" t="inlineStr">
        <is>
          <t>Plataforma colaborativa</t>
        </is>
      </c>
      <c r="E16" s="10" t="inlineStr">
        <is>
          <t>https://wikimedia.org/api/rest_v1/metrics/pageviews/per-article/es.wikipedia/all-access/user/Buenos_Aires/monthly/20250101/20260831</t>
        </is>
      </c>
      <c r="F16" s="10" t="inlineStr">
        <is>
          <t>JSON</t>
        </is>
      </c>
      <c r="G16" s="10" t="inlineStr">
        <is>
          <t>API sin llave</t>
        </is>
      </c>
      <c r="H16" s="10" t="inlineStr">
        <is>
          <t>CC0</t>
        </is>
      </c>
      <c r="I16" s="10" t="inlineStr">
        <is>
          <t>No</t>
        </is>
      </c>
      <c r="J16" s="10" t="inlineStr">
        <is>
          <t>Ciudad (artículo «Buenos Aires»)</t>
        </is>
      </c>
      <c r="K16" s="10" t="inlineStr">
        <is>
          <t>2025-01 a 2026-08</t>
        </is>
      </c>
      <c r="L16" s="10" t="inlineStr">
        <is>
          <t>Mensual</t>
        </is>
      </c>
      <c r="M16" s="10" t="inlineStr">
        <is>
          <t>2026-10-06</t>
        </is>
      </c>
      <c r="N16" s="10" t="inlineStr">
        <is>
          <t>Integrada al lago</t>
        </is>
      </c>
      <c r="O16" s="10" t="inlineStr">
        <is>
          <t>Ejemplo del taller (script de la lámina), adaptado a Buenos Aires</t>
        </is>
      </c>
      <c r="P16" s="10" t="inlineStr">
        <is>
          <t>id en el lago: wikimedia_pageviews. Agente «user»: cuenta personas, no bots. Mide interés, no opinión.</t>
        </is>
      </c>
    </row>
    <row r="17">
      <c r="A17" s="10" t="inlineStr">
        <is>
          <t>F13</t>
        </is>
      </c>
      <c r="B17" s="10" t="inlineStr">
        <is>
          <t>Espacios culturales.</t>
        </is>
      </c>
      <c r="C17" s="10" t="inlineStr">
        <is>
          <t>GCBA · Ministerio de Cultura</t>
        </is>
      </c>
      <c r="D17" s="10" t="inlineStr">
        <is>
          <t>Entidad pública</t>
        </is>
      </c>
      <c r="E17" s="10" t="inlineStr">
        <is>
          <t>https://cdn.buenosaires.gob.ar/datosabiertos/datasets/ministerio-de-cultura/espacios-culturales/espacios-culturales.csv</t>
        </is>
      </c>
      <c r="F17" s="10" t="inlineStr">
        <is>
          <t>CSV</t>
        </is>
      </c>
      <c r="G17" s="10" t="inlineStr">
        <is>
          <t>Descarga directa</t>
        </is>
      </c>
      <c r="H17" s="10" t="inlineStr">
        <is>
          <t>CC-BY-2.5-AR</t>
        </is>
      </c>
      <c r="I17" s="10" t="inlineStr">
        <is>
          <t>Personas identificables</t>
        </is>
      </c>
      <c r="J17" s="10" t="inlineStr">
        <is>
          <t>Ciudad, por barrio</t>
        </is>
      </c>
      <c r="K17" s="10" t="inlineStr">
        <is>
          <t>Registro vigente</t>
        </is>
      </c>
      <c r="L17" s="10" t="inlineStr">
        <is>
          <t>No se sabe</t>
        </is>
      </c>
      <c r="M17" s="10" t="inlineStr">
        <is>
          <t>2026-10-06</t>
        </is>
      </c>
      <c r="N17" s="10" t="inlineStr">
        <is>
          <t>Integrada al lago</t>
        </is>
      </c>
      <c r="O17" s="10" t="inlineStr">
        <is>
          <t>IA (Claude Code): búsqueda en el catálogo CKAN de BA Data; probada con descarga del script</t>
        </is>
      </c>
      <c r="P17" s="10" t="inlineStr">
        <is>
          <t>id en el lago: ba_espacios_culturales. Trae teléfono, correo y redes de cada espacio (pueden ser de personas): no se copian al lago.</t>
        </is>
      </c>
    </row>
    <row r="18">
      <c r="A18" s="10" t="inlineStr">
        <is>
          <t>F14</t>
        </is>
      </c>
      <c r="B18" s="10" t="inlineStr">
        <is>
          <t>Obras Registradas</t>
        </is>
      </c>
      <c r="C18" s="10" t="inlineStr">
        <is>
          <t>GCBA · Subsecretaría de Planeamiento</t>
        </is>
      </c>
      <c r="D18" s="10" t="inlineStr">
        <is>
          <t>Entidad pública</t>
        </is>
      </c>
      <c r="E18" s="10" t="inlineStr">
        <is>
          <t>https://cdn.buenosaires.gob.ar/datosabiertos/datasets/subsecretaria-de-planeamiento/obras-registradas/obrasregistradas-acumulado.csv</t>
        </is>
      </c>
      <c r="F18" s="10" t="inlineStr">
        <is>
          <t>CSV</t>
        </is>
      </c>
      <c r="G18" s="10" t="inlineStr">
        <is>
          <t>Descarga directa</t>
        </is>
      </c>
      <c r="H18" s="10" t="inlineStr">
        <is>
          <t>CC-BY-2.5-AR</t>
        </is>
      </c>
      <c r="I18" s="10" t="inlineStr">
        <is>
          <t>No</t>
        </is>
      </c>
      <c r="J18" s="10" t="inlineStr">
        <is>
          <t>Ciudad, por barrio</t>
        </is>
      </c>
      <c r="K18" s="10" t="inlineStr">
        <is>
          <t>2020 a 2026</t>
        </is>
      </c>
      <c r="L18" s="10" t="inlineStr">
        <is>
          <t>Mensual</t>
        </is>
      </c>
      <c r="M18" s="10" t="inlineStr">
        <is>
          <t>2026-10-06</t>
        </is>
      </c>
      <c r="N18" s="10" t="inlineStr">
        <is>
          <t>Integrada al lago</t>
        </is>
      </c>
      <c r="O18" s="10" t="inlineStr">
        <is>
          <t>IA (Claude Code): búsqueda en el catálogo CKAN de BA Data; probada con descarga del script</t>
        </is>
      </c>
      <c r="P18" s="10" t="inlineStr">
        <is>
          <t>id en el lago: ba_obras_registradas. Son permisos de obra (expediente, dirección, parcela), no volúmenes construidos.</t>
        </is>
      </c>
    </row>
    <row r="19">
      <c r="A19" s="10" t="inlineStr">
        <is>
          <t>F15</t>
        </is>
      </c>
      <c r="B19" s="10" t="inlineStr">
        <is>
          <t>Tejido Urbano</t>
        </is>
      </c>
      <c r="C19" s="10" t="inlineStr">
        <is>
          <t>GCBA · Secretaría de Desarrollo Urbano (Secretaría de Planeamiento)</t>
        </is>
      </c>
      <c r="D19" s="10" t="inlineStr">
        <is>
          <t>Entidad pública</t>
        </is>
      </c>
      <c r="E19" s="10" t="inlineStr">
        <is>
          <t>https://cdn.buenosaires.gob.ar/datosabiertos/datasets/secretaria-de-desarrollo-urbano/tejido-urbano/tejido.csv</t>
        </is>
      </c>
      <c r="F19" s="10" t="inlineStr">
        <is>
          <t>CSV</t>
        </is>
      </c>
      <c r="G19" s="10" t="inlineStr">
        <is>
          <t>Descarga directa</t>
        </is>
      </c>
      <c r="H19" s="10" t="inlineStr">
        <is>
          <t>CC-BY-2.5-AR</t>
        </is>
      </c>
      <c r="I19" s="10" t="inlineStr">
        <is>
          <t>No</t>
        </is>
      </c>
      <c r="J19" s="10" t="inlineStr">
        <is>
          <t>Ciudad, por parcela</t>
        </is>
      </c>
      <c r="K19" s="10" t="inlineStr">
        <is>
          <t>Hasta 2021</t>
        </is>
      </c>
      <c r="L19" s="10" t="inlineStr">
        <is>
          <t>Única vez</t>
        </is>
      </c>
      <c r="M19" s="10" t="inlineStr">
        <is>
          <t>2026-10-06</t>
        </is>
      </c>
      <c r="N19" s="10" t="inlineStr">
        <is>
          <t>Integrada al lago</t>
        </is>
      </c>
      <c r="O19" s="10" t="inlineStr">
        <is>
          <t>IA (Claude Code): búsqueda en el catálogo CKAN de BA Data; probada con descarga del script</t>
        </is>
      </c>
      <c r="P19" s="10" t="inlineStr">
        <is>
          <t>id en el lago: ba_tejido_urbano. Alturas por fotogrametría. Se usa el CSV (122 MB, 8 MB comprimido); el GeoJSON de ~1 GB no entra al lago (ver contrato: GeoParquet/PMTiles). 2 alturas imposibles (830 y 280 m) se descartan.</t>
        </is>
      </c>
    </row>
    <row r="20">
      <c r="A20" s="10" t="inlineStr">
        <is>
          <t>F16</t>
        </is>
      </c>
      <c r="B20" s="10" t="inlineStr">
        <is>
          <t>Parcelas</t>
        </is>
      </c>
      <c r="C20" s="10" t="inlineStr">
        <is>
          <t>GCBA · Secretaría de Desarrollo Urbano</t>
        </is>
      </c>
      <c r="D20" s="10" t="inlineStr">
        <is>
          <t>Entidad pública</t>
        </is>
      </c>
      <c r="E20" s="10" t="inlineStr">
        <is>
          <t>https://cdn.buenosaires.gob.ar/datosabiertos/datasets/secretaria-de-desarrollo-urbano/parcelas/parcelas_catastrales.zip</t>
        </is>
      </c>
      <c r="F20" s="10" t="inlineStr">
        <is>
          <t>Shapefile</t>
        </is>
      </c>
      <c r="G20" s="10" t="inlineStr">
        <is>
          <t>Descarga directa</t>
        </is>
      </c>
      <c r="H20" s="10" t="inlineStr">
        <is>
          <t>CC-BY-2.5-AR</t>
        </is>
      </c>
      <c r="I20" s="10" t="inlineStr">
        <is>
          <t>No</t>
        </is>
      </c>
      <c r="J20" s="10" t="inlineStr">
        <is>
          <t>Ciudad, por parcela</t>
        </is>
      </c>
      <c r="K20" s="10" t="inlineStr">
        <is>
          <t>Catastro vigente</t>
        </is>
      </c>
      <c r="L20" s="10" t="inlineStr">
        <is>
          <t>No se sabe</t>
        </is>
      </c>
      <c r="M20" s="10" t="inlineStr">
        <is>
          <t>2026-10-06</t>
        </is>
      </c>
      <c r="N20" s="10" t="inlineStr">
        <is>
          <t>Integrada al lago</t>
        </is>
      </c>
      <c r="O20" s="10" t="inlineStr">
        <is>
          <t>IA (Claude Code): búsqueda en el catálogo CKAN de BA Data; probada con descarga del script</t>
        </is>
      </c>
      <c r="P20" s="10" t="inlineStr">
        <is>
          <t>id en el lago: ba_parcelas. Solo se usa la tabla smp → barrio del .dbf (crudo reducido a 1 MB); la geometría no se guarda.</t>
        </is>
      </c>
    </row>
    <row r="21">
      <c r="A21" s="10" t="inlineStr">
        <is>
          <t>F17</t>
        </is>
      </c>
      <c r="B21" s="10" t="inlineStr">
        <is>
          <t>Espacios Verdes</t>
        </is>
      </c>
      <c r="C21" s="10" t="inlineStr">
        <is>
          <t>GCBA · Secretaría de Desarrollo Urbano</t>
        </is>
      </c>
      <c r="D21" s="10" t="inlineStr">
        <is>
          <t>Entidad pública</t>
        </is>
      </c>
      <c r="E21" s="10" t="inlineStr">
        <is>
          <t>https://cdn.buenosaires.gob.ar/datosabiertos/datasets/secretaria-de-desarrollo-urbano/espacios-verdes/espacio_verde_publico.csv</t>
        </is>
      </c>
      <c r="F21" s="10" t="inlineStr">
        <is>
          <t>CSV</t>
        </is>
      </c>
      <c r="G21" s="10" t="inlineStr">
        <is>
          <t>Descarga directa</t>
        </is>
      </c>
      <c r="H21" s="10" t="inlineStr">
        <is>
          <t>CC-BY-2.5-AR</t>
        </is>
      </c>
      <c r="I21" s="10" t="inlineStr">
        <is>
          <t>No</t>
        </is>
      </c>
      <c r="J21" s="10" t="inlineStr">
        <is>
          <t>Ciudad, por barrio</t>
        </is>
      </c>
      <c r="K21" s="10" t="inlineStr">
        <is>
          <t>Registro vigente</t>
        </is>
      </c>
      <c r="L21" s="10" t="inlineStr">
        <is>
          <t>No se sabe</t>
        </is>
      </c>
      <c r="M21" s="10" t="inlineStr">
        <is>
          <t>2026-10-06</t>
        </is>
      </c>
      <c r="N21" s="10" t="inlineStr">
        <is>
          <t>Integrada al lago</t>
        </is>
      </c>
      <c r="O21" s="10" t="inlineStr">
        <is>
          <t>IA (Claude Code): búsqueda en el catálogo CKAN de BA Data; probada con descarga del script</t>
        </is>
      </c>
      <c r="P21" s="10" t="inlineStr">
        <is>
          <t>id en el lago: ba_espacios_verdes. El recurso «Espacio Verde Privado (CSV)» del mismo conjunto vino vacío (146 bytes, solo cabecera).</t>
        </is>
      </c>
    </row>
    <row r="22">
      <c r="A22" s="10" t="inlineStr">
        <is>
          <t>F18</t>
        </is>
      </c>
      <c r="B22" s="10" t="inlineStr">
        <is>
          <t>Calidad de Aire</t>
        </is>
      </c>
      <c r="C22" s="10" t="inlineStr">
        <is>
          <t>GCBA · Agencia de Protección Ambiental</t>
        </is>
      </c>
      <c r="D22" s="10" t="inlineStr">
        <is>
          <t>Entidad pública</t>
        </is>
      </c>
      <c r="E22" s="10" t="inlineStr">
        <is>
          <t>https://cdn.buenosaires.gob.ar/datosabiertos/datasets/agencia-de-proteccion-ambiental/calidad-aire/calidad_aire_2025.csv ; https://cdn.buenosaires.gob.ar/datosabiertos/datasets/agencia-de-proteccion-ambiental/calidad-aire/estaciones-ambientales.csv</t>
        </is>
      </c>
      <c r="F22" s="10" t="inlineStr">
        <is>
          <t>CSV</t>
        </is>
      </c>
      <c r="G22" s="10" t="inlineStr">
        <is>
          <t>Descarga directa</t>
        </is>
      </c>
      <c r="H22" s="10" t="inlineStr">
        <is>
          <t>CC-BY-2.5-AR</t>
        </is>
      </c>
      <c r="I22" s="10" t="inlineStr">
        <is>
          <t>No</t>
        </is>
      </c>
      <c r="J22" s="10" t="inlineStr">
        <is>
          <t>4 estaciones de la Ciudad</t>
        </is>
      </c>
      <c r="K22" s="10" t="inlineStr">
        <is>
          <t>2025</t>
        </is>
      </c>
      <c r="L22" s="10" t="inlineStr">
        <is>
          <t>Diaria</t>
        </is>
      </c>
      <c r="M22" s="10" t="inlineStr">
        <is>
          <t>2026-10-06</t>
        </is>
      </c>
      <c r="N22" s="10" t="inlineStr">
        <is>
          <t>Integrada al lago</t>
        </is>
      </c>
      <c r="O22" s="10" t="inlineStr">
        <is>
          <t>IA (Claude Code): búsqueda en el catálogo CKAN de BA Data; probada con descarga del script</t>
        </is>
      </c>
      <c r="P22" s="10" t="inlineStr">
        <is>
          <t>id en el lago: ba_calidad_aire. CO en ppm y NO2 en ppb (no µg/m³); coma decimal. Palermo sin lecturas válidas en 2025.</t>
        </is>
      </c>
    </row>
    <row r="23">
      <c r="A23" s="10" t="inlineStr">
        <is>
          <t>F19</t>
        </is>
      </c>
      <c r="B23" s="10" t="inlineStr">
        <is>
          <t>Open-Meteo Historical Weather API (reanálisis ERA5/ERA5-Land, ECMWF)</t>
        </is>
      </c>
      <c r="C23" s="10" t="inlineStr">
        <is>
          <t>Open-Meteo (reanálisis ERA5 del ECMWF)</t>
        </is>
      </c>
      <c r="D23" s="10" t="inlineStr">
        <is>
          <t>Empresa privada</t>
        </is>
      </c>
      <c r="E23" s="10" t="inlineStr">
        <is>
          <t>https://archive-api.open-meteo.com/v1/archive?latitude=-34.6037&amp;longitude=-58.3816&amp;start_date=2015-01-01&amp;end_date=2025-12-31&amp;daily=temperature_2m_mean,temperature_2m_max,temperature_2m_min,precipitation_sum&amp;timezone=America/Argentina/Buenos_Aires</t>
        </is>
      </c>
      <c r="F23" s="10" t="inlineStr">
        <is>
          <t>JSON</t>
        </is>
      </c>
      <c r="G23" s="10" t="inlineStr">
        <is>
          <t>API sin llave</t>
        </is>
      </c>
      <c r="H23" s="10" t="inlineStr">
        <is>
          <t>CC BY 4.0</t>
        </is>
      </c>
      <c r="I23" s="10" t="inlineStr">
        <is>
          <t>No</t>
        </is>
      </c>
      <c r="J23" s="10" t="inlineStr">
        <is>
          <t>Un punto del centro de CABA (grilla ~10-25 km)</t>
        </is>
      </c>
      <c r="K23" s="10" t="inlineStr">
        <is>
          <t>2015-01 a 2025-12</t>
        </is>
      </c>
      <c r="L23" s="10" t="inlineStr">
        <is>
          <t>Diaria</t>
        </is>
      </c>
      <c r="M23" s="10" t="inlineStr">
        <is>
          <t>2026-10-06</t>
        </is>
      </c>
      <c r="N23" s="10" t="inlineStr">
        <is>
          <t>Integrada al lago</t>
        </is>
      </c>
      <c r="O23" s="10" t="inlineStr">
        <is>
          <t>IA (Claude Code): propuesta como fuente de clima sin llave; probada con la consulta del script</t>
        </is>
      </c>
      <c r="P23" s="10" t="inlineStr">
        <is>
          <t>id en el lago: open_meteo. Dato de modelo, no de estación del SMN: suaviza extremos y no distingue barrios.</t>
        </is>
      </c>
    </row>
    <row r="24">
      <c r="A24" s="10" t="inlineStr">
        <is>
          <t>F20</t>
        </is>
      </c>
      <c r="B24" s="10" t="inlineStr">
        <is>
          <t>Gestión de Residuos en Puntos Verdes</t>
        </is>
      </c>
      <c r="C24" s="10" t="inlineStr">
        <is>
          <t>GCBA · Agencia de Protección Ambiental</t>
        </is>
      </c>
      <c r="D24" s="10" t="inlineStr">
        <is>
          <t>Entidad pública</t>
        </is>
      </c>
      <c r="E24" s="10" t="inlineStr">
        <is>
          <t>https://cdn.buenosaires.gob.ar/datosabiertos/datasets/agencia-de-proteccion-ambiental/puntos-verdes/puntos_verdes.csv ; https://cdn.buenosaires.gob.ar/datosabiertos/datasets/agencia-de-proteccion-ambiental/puntos-verdes/RAEEs_RAEEs.csv</t>
        </is>
      </c>
      <c r="F24" s="10" t="inlineStr">
        <is>
          <t>CSV</t>
        </is>
      </c>
      <c r="G24" s="10" t="inlineStr">
        <is>
          <t>Descarga directa</t>
        </is>
      </c>
      <c r="H24" s="10" t="inlineStr">
        <is>
          <t>CC-BY-2.5-AR</t>
        </is>
      </c>
      <c r="I24" s="10" t="inlineStr">
        <is>
          <t>No</t>
        </is>
      </c>
      <c r="J24" s="10" t="inlineStr">
        <is>
          <t>Ciudad, por barrio</t>
        </is>
      </c>
      <c r="K24" s="10" t="inlineStr">
        <is>
          <t>Puntos vigentes; RAEE 2019-2026</t>
        </is>
      </c>
      <c r="L24" s="10" t="inlineStr">
        <is>
          <t>Mensual</t>
        </is>
      </c>
      <c r="M24" s="10" t="inlineStr">
        <is>
          <t>2026-10-06</t>
        </is>
      </c>
      <c r="N24" s="10" t="inlineStr">
        <is>
          <t>Integrada al lago</t>
        </is>
      </c>
      <c r="O24" s="10" t="inlineStr">
        <is>
          <t>IA (Claude Code): búsqueda en el catálogo CKAN de BA Data; probada con descarga del script</t>
        </is>
      </c>
      <c r="P24" s="10" t="inlineStr">
        <is>
          <t>id en el lago: ba_puntos_verdes. El primer intento rebotó por el límite de peticiones del portal. El listado solo trae 17 puntos «Con Atención». RAEE mezcla coma decimal y de miles; 7 valores ilegibles quedan sin dato.</t>
        </is>
      </c>
    </row>
    <row r="25">
      <c r="A25" s="10" t="inlineStr">
        <is>
          <t>F21</t>
        </is>
      </c>
      <c r="B25" s="10" t="inlineStr">
        <is>
          <t>Establecimientos Educativos</t>
        </is>
      </c>
      <c r="C25" s="10" t="inlineStr">
        <is>
          <t>GCBA · Ministerio de Educación</t>
        </is>
      </c>
      <c r="D25" s="10" t="inlineStr">
        <is>
          <t>Entidad pública</t>
        </is>
      </c>
      <c r="E25" s="10" t="inlineStr">
        <is>
          <t>https://cdn.buenosaires.gob.ar/datosabiertos/datasets/ministerio-de-educacion/establecimientos-educativos/establecimientos_educativos.csv</t>
        </is>
      </c>
      <c r="F25" s="10" t="inlineStr">
        <is>
          <t>CSV</t>
        </is>
      </c>
      <c r="G25" s="10" t="inlineStr">
        <is>
          <t>Descarga directa</t>
        </is>
      </c>
      <c r="H25" s="10" t="inlineStr">
        <is>
          <t>CC-BY-2.5-AR</t>
        </is>
      </c>
      <c r="I25" s="10" t="inlineStr">
        <is>
          <t>No</t>
        </is>
      </c>
      <c r="J25" s="10" t="inlineStr">
        <is>
          <t>Ciudad, por barrio</t>
        </is>
      </c>
      <c r="K25" s="10" t="inlineStr">
        <is>
          <t>Registro vigente</t>
        </is>
      </c>
      <c r="L25" s="10" t="inlineStr">
        <is>
          <t>No se sabe</t>
        </is>
      </c>
      <c r="M25" s="10" t="inlineStr">
        <is>
          <t>2026-10-06</t>
        </is>
      </c>
      <c r="N25" s="10" t="inlineStr">
        <is>
          <t>Integrada al lago</t>
        </is>
      </c>
      <c r="O25" s="10" t="inlineStr">
        <is>
          <t>IA (Claude Code): búsqueda en el catálogo CKAN de BA Data; probada con descarga del script</t>
        </is>
      </c>
      <c r="P25" s="10" t="inlineStr">
        <is>
          <t>id en el lago: ba_establecimientos_educativos. Una fila es una oferta (nivel/modalidad), no un edificio. Sin matrícula.</t>
        </is>
      </c>
    </row>
    <row r="26">
      <c r="A26" s="10" t="inlineStr">
        <is>
          <t>F22</t>
        </is>
      </c>
      <c r="B26" s="10" t="inlineStr">
        <is>
          <t>Hospitales</t>
        </is>
      </c>
      <c r="C26" s="10" t="inlineStr">
        <is>
          <t>GCBA · Ministerio de Salud</t>
        </is>
      </c>
      <c r="D26" s="10" t="inlineStr">
        <is>
          <t>Entidad pública</t>
        </is>
      </c>
      <c r="E26" s="10" t="inlineStr">
        <is>
          <t>https://cdn.buenosaires.gob.ar/datosabiertos/datasets/ministerio-de-salud/hospitales/hospitales.csv</t>
        </is>
      </c>
      <c r="F26" s="10" t="inlineStr">
        <is>
          <t>CSV</t>
        </is>
      </c>
      <c r="G26" s="10" t="inlineStr">
        <is>
          <t>Descarga directa</t>
        </is>
      </c>
      <c r="H26" s="10" t="inlineStr">
        <is>
          <t>CC-BY-2.5-AR</t>
        </is>
      </c>
      <c r="I26" s="10" t="inlineStr">
        <is>
          <t>No</t>
        </is>
      </c>
      <c r="J26" s="10" t="inlineStr">
        <is>
          <t>Ciudad, por barrio</t>
        </is>
      </c>
      <c r="K26" s="10" t="inlineStr">
        <is>
          <t>Registro vigente</t>
        </is>
      </c>
      <c r="L26" s="10" t="inlineStr">
        <is>
          <t>No se sabe</t>
        </is>
      </c>
      <c r="M26" s="10" t="inlineStr">
        <is>
          <t>2026-10-06</t>
        </is>
      </c>
      <c r="N26" s="10" t="inlineStr">
        <is>
          <t>Integrada al lago</t>
        </is>
      </c>
      <c r="O26" s="10" t="inlineStr">
        <is>
          <t>IA (Claude Code): búsqueda en el catálogo CKAN de BA Data; probada con descarga del script</t>
        </is>
      </c>
      <c r="P26" s="10" t="inlineStr">
        <is>
          <t>id en el lago: ba_hospitales. Teléfono y fax institucionales: no se copian. Sin camas ni atenciones.</t>
        </is>
      </c>
    </row>
    <row r="27">
      <c r="A27" s="10" t="inlineStr">
        <is>
          <t>F23</t>
        </is>
      </c>
      <c r="B27" s="10" t="inlineStr">
        <is>
          <t>Centros de Salud y Acción Comunitaria (CESAC)</t>
        </is>
      </c>
      <c r="C27" s="10" t="inlineStr">
        <is>
          <t>GCBA · Ministerio de Salud</t>
        </is>
      </c>
      <c r="D27" s="10" t="inlineStr">
        <is>
          <t>Entidad pública</t>
        </is>
      </c>
      <c r="E27" s="10" t="inlineStr">
        <is>
          <t>https://cdn.buenosaires.gob.ar/datosabiertos/datasets/ministerio-de-salud/centros-salud-accion-comunitaria-cesac/centros_salud_nivel_1_cesac.csv</t>
        </is>
      </c>
      <c r="F27" s="10" t="inlineStr">
        <is>
          <t>CSV</t>
        </is>
      </c>
      <c r="G27" s="10" t="inlineStr">
        <is>
          <t>Descarga directa</t>
        </is>
      </c>
      <c r="H27" s="10" t="inlineStr">
        <is>
          <t>CC-BY-2.5-AR</t>
        </is>
      </c>
      <c r="I27" s="10" t="inlineStr">
        <is>
          <t>No</t>
        </is>
      </c>
      <c r="J27" s="10" t="inlineStr">
        <is>
          <t>Ciudad, por barrio</t>
        </is>
      </c>
      <c r="K27" s="10" t="inlineStr">
        <is>
          <t>Registro vigente</t>
        </is>
      </c>
      <c r="L27" s="10" t="inlineStr">
        <is>
          <t>No se sabe</t>
        </is>
      </c>
      <c r="M27" s="10" t="inlineStr">
        <is>
          <t>2026-10-06</t>
        </is>
      </c>
      <c r="N27" s="10" t="inlineStr">
        <is>
          <t>Integrada al lago</t>
        </is>
      </c>
      <c r="O27" s="10" t="inlineStr">
        <is>
          <t>IA (Claude Code): búsqueda en el catálogo CKAN de BA Data; probada con descarga del script</t>
        </is>
      </c>
      <c r="P27" s="10" t="inlineStr">
        <is>
          <t>id en el lago: ba_cesac. Teléfono y web institucionales: no se copian.</t>
        </is>
      </c>
    </row>
    <row r="28">
      <c r="A28" s="10" t="inlineStr">
        <is>
          <t>F24</t>
        </is>
      </c>
      <c r="B28" s="10" t="inlineStr">
        <is>
          <t>Subte: Estaciones.</t>
        </is>
      </c>
      <c r="C28" s="10" t="inlineStr">
        <is>
          <t>Subterráneos de Buenos Aires (SBASE)</t>
        </is>
      </c>
      <c r="D28" s="10" t="inlineStr">
        <is>
          <t>Entidad pública</t>
        </is>
      </c>
      <c r="E28" s="10" t="inlineStr">
        <is>
          <t>https://cdn.buenosaires.gob.ar/datosabiertos/datasets/sbase/subte-estaciones/estaciones_de_subte.csv ; https://cdn.buenosaires.gob.ar/datosabiertos/datasets/sbase/subte-estaciones/viajes_anual.csv ; https://cdn.buenosaires.gob.ar/datosabiertos/datasets/sbase/subte-estaciones/red_subte.geojson</t>
        </is>
      </c>
      <c r="F28" s="10" t="inlineStr">
        <is>
          <t>CSV</t>
        </is>
      </c>
      <c r="G28" s="10" t="inlineStr">
        <is>
          <t>Descarga directa</t>
        </is>
      </c>
      <c r="H28" s="10" t="inlineStr">
        <is>
          <t>CC-BY-2.5-AR</t>
        </is>
      </c>
      <c r="I28" s="10" t="inlineStr">
        <is>
          <t>No</t>
        </is>
      </c>
      <c r="J28" s="10" t="inlineStr">
        <is>
          <t>Red de subte (6 líneas)</t>
        </is>
      </c>
      <c r="K28" s="10" t="inlineStr">
        <is>
          <t>2013 a 2020 (pasajeros anuales)</t>
        </is>
      </c>
      <c r="L28" s="10" t="inlineStr">
        <is>
          <t>Anual</t>
        </is>
      </c>
      <c r="M28" s="10" t="inlineStr">
        <is>
          <t>2026-10-06</t>
        </is>
      </c>
      <c r="N28" s="10" t="inlineStr">
        <is>
          <t>Integrada al lago</t>
        </is>
      </c>
      <c r="O28" s="10" t="inlineStr">
        <is>
          <t>IA (Claude Code): búsqueda en el catálogo CKAN de BA Data; probada con descarga del script</t>
        </is>
      </c>
      <c r="P28" s="10" t="inlineStr">
        <is>
          <t>id en el lago: ba_subte_estaciones. viajes_anual.csv tiene 48 filas año×línea: un error previo las contaba como 48 estaciones (son 90 pares estación-línea).</t>
        </is>
      </c>
    </row>
    <row r="29">
      <c r="A29" s="10" t="inlineStr">
        <is>
          <t>F25</t>
        </is>
      </c>
      <c r="B29" s="10" t="inlineStr">
        <is>
          <t>Subte: Viajes Molinetes.</t>
        </is>
      </c>
      <c r="C29" s="10" t="inlineStr">
        <is>
          <t>Subterráneos de Buenos Aires (SBASE)</t>
        </is>
      </c>
      <c r="D29" s="10" t="inlineStr">
        <is>
          <t>Entidad pública</t>
        </is>
      </c>
      <c r="E29" s="10" t="inlineStr">
        <is>
          <t>https://cdn.buenosaires.gob.ar/datosabiertos/datasets/sbase/subte-viajes-molinetes/molinetes-2025.zip</t>
        </is>
      </c>
      <c r="F29" s="10" t="inlineStr">
        <is>
          <t>CSV</t>
        </is>
      </c>
      <c r="G29" s="10" t="inlineStr">
        <is>
          <t>Descarga directa</t>
        </is>
      </c>
      <c r="H29" s="10" t="inlineStr">
        <is>
          <t>CC-BY-2.5-AR</t>
        </is>
      </c>
      <c r="I29" s="10" t="inlineStr">
        <is>
          <t>No</t>
        </is>
      </c>
      <c r="J29" s="10" t="inlineStr">
        <is>
          <t>Red de subte y Premetro, por molinete</t>
        </is>
      </c>
      <c r="K29" s="10" t="inlineStr">
        <is>
          <t>2025-01 a 2025-12</t>
        </is>
      </c>
      <c r="L29" s="10" t="inlineStr">
        <is>
          <t>Mensual</t>
        </is>
      </c>
      <c r="M29" s="10" t="inlineStr">
        <is>
          <t>2026-10-06</t>
        </is>
      </c>
      <c r="N29" s="10" t="inlineStr">
        <is>
          <t>Integrada al lago</t>
        </is>
      </c>
      <c r="O29" s="10" t="inlineStr">
        <is>
          <t>IA (Claude Code): búsqueda en el catálogo CKAN de BA Data; probada con descarga del script</t>
        </is>
      </c>
      <c r="P29" s="10" t="inlineStr">
        <is>
          <t>id en el lago: ba_subte_molinetes. ZIP de 82 MB con 26 CSV cada 15 min. Agosto mezcla fechas d/m y m/d; marzo trae «;» sobrantes; enero, líneas vacías; codificación variable; un molinete «Prueba» excluido.</t>
        </is>
      </c>
    </row>
    <row r="30">
      <c r="A30" s="10" t="inlineStr">
        <is>
          <t>F26</t>
        </is>
      </c>
      <c r="B30" s="10" t="inlineStr">
        <is>
          <t>Estaciones Bicicletas Públicas.</t>
        </is>
      </c>
      <c r="C30" s="10" t="inlineStr">
        <is>
          <t>GCBA · Secretaría de Transporte y Obras Públicas</t>
        </is>
      </c>
      <c r="D30" s="10" t="inlineStr">
        <is>
          <t>Entidad pública</t>
        </is>
      </c>
      <c r="E30" s="10" t="inlineStr">
        <is>
          <t>https://cdn.buenosaires.gob.ar/datosabiertos/datasets/transporte-y-obras-publicas/estaciones-bicicletas-publicas/nuevas-estaciones-bicicletas-publicas.csv</t>
        </is>
      </c>
      <c r="F30" s="10" t="inlineStr">
        <is>
          <t>CSV</t>
        </is>
      </c>
      <c r="G30" s="10" t="inlineStr">
        <is>
          <t>Descarga directa</t>
        </is>
      </c>
      <c r="H30" s="10" t="inlineStr">
        <is>
          <t>CC-BY-2.5-AR</t>
        </is>
      </c>
      <c r="I30" s="10" t="inlineStr">
        <is>
          <t>No</t>
        </is>
      </c>
      <c r="J30" s="10" t="inlineStr">
        <is>
          <t>Ciudad</t>
        </is>
      </c>
      <c r="K30" s="10" t="inlineStr">
        <is>
          <t>Registro vigente</t>
        </is>
      </c>
      <c r="L30" s="10" t="inlineStr">
        <is>
          <t>No se sabe</t>
        </is>
      </c>
      <c r="M30" s="10" t="inlineStr">
        <is>
          <t>2026-10-06</t>
        </is>
      </c>
      <c r="N30" s="10" t="inlineStr">
        <is>
          <t>Integrada al lago</t>
        </is>
      </c>
      <c r="O30" s="10" t="inlineStr">
        <is>
          <t>IA (Claude Code): búsqueda en el catálogo CKAN de BA Data; probada con descarga del script</t>
        </is>
      </c>
      <c r="P30" s="10" t="inlineStr">
        <is>
          <t>id en el lago: ba_ecobici_estaciones. El campo barrio viene vacío en las 407 estaciones: se asigna por punto en polígono.</t>
        </is>
      </c>
    </row>
    <row r="31">
      <c r="A31" s="10" t="inlineStr">
        <is>
          <t>F27</t>
        </is>
      </c>
      <c r="B31" s="10" t="inlineStr">
        <is>
          <t>Colectivos: paradas</t>
        </is>
      </c>
      <c r="C31" s="10" t="inlineStr">
        <is>
          <t>GCBA · Secretaría de Transporte y Obras Públicas</t>
        </is>
      </c>
      <c r="D31" s="10" t="inlineStr">
        <is>
          <t>Entidad pública</t>
        </is>
      </c>
      <c r="E31" s="10" t="inlineStr">
        <is>
          <t>https://cdn.buenosaires.gob.ar/datosabiertos/datasets/transporte-y-obras-publicas/colectivos-paradas/paradas-de-colectivo.csv</t>
        </is>
      </c>
      <c r="F31" s="10" t="inlineStr">
        <is>
          <t>CSV</t>
        </is>
      </c>
      <c r="G31" s="10" t="inlineStr">
        <is>
          <t>Descarga directa</t>
        </is>
      </c>
      <c r="H31" s="10" t="inlineStr">
        <is>
          <t>CC-BY-2.5-AR</t>
        </is>
      </c>
      <c r="I31" s="10" t="inlineStr">
        <is>
          <t>No</t>
        </is>
      </c>
      <c r="J31" s="10" t="inlineStr">
        <is>
          <t>Ciudad</t>
        </is>
      </c>
      <c r="K31" s="10" t="inlineStr">
        <is>
          <t>Registro vigente</t>
        </is>
      </c>
      <c r="L31" s="10" t="inlineStr">
        <is>
          <t>No se sabe</t>
        </is>
      </c>
      <c r="M31" s="10" t="inlineStr">
        <is>
          <t>2026-10-06</t>
        </is>
      </c>
      <c r="N31" s="10" t="inlineStr">
        <is>
          <t>Integrada al lago</t>
        </is>
      </c>
      <c r="O31" s="10" t="inlineStr">
        <is>
          <t>IA (Claude Code): búsqueda en el catálogo CKAN de BA Data; probada con descarga del script</t>
        </is>
      </c>
      <c r="P31" s="10" t="inlineStr">
        <is>
          <t>id en el lago: ba_colectivos_paradas. Barrios con erratas («VILLA ORTUZA», «VELEZ SARFIELD»): se asigna por punto en polígono.</t>
        </is>
      </c>
    </row>
    <row r="32">
      <c r="A32" s="10" t="inlineStr">
        <is>
          <t>F28</t>
        </is>
      </c>
      <c r="B32" s="10" t="inlineStr">
        <is>
          <t>Sensores de Tránsito</t>
        </is>
      </c>
      <c r="C32" s="10" t="inlineStr">
        <is>
          <t>GCBA · Secretaría de Transporte y Obras Públicas</t>
        </is>
      </c>
      <c r="D32" s="10" t="inlineStr">
        <is>
          <t>Entidad pública</t>
        </is>
      </c>
      <c r="E32" s="10" t="inlineStr">
        <is>
          <t>https://cdn.buenosaires.gob.ar/datosabiertos/datasets/transporte-y-obras-publicas/sensores-transito/sensores.csv</t>
        </is>
      </c>
      <c r="F32" s="10" t="inlineStr">
        <is>
          <t>CSV</t>
        </is>
      </c>
      <c r="G32" s="10" t="inlineStr">
        <is>
          <t>Descarga directa</t>
        </is>
      </c>
      <c r="H32" s="10" t="inlineStr">
        <is>
          <t>CC-BY-2.5-AR</t>
        </is>
      </c>
      <c r="I32" s="10" t="inlineStr">
        <is>
          <t>No</t>
        </is>
      </c>
      <c r="J32" s="10" t="inlineStr">
        <is>
          <t>Ciudad, por comuna</t>
        </is>
      </c>
      <c r="K32" s="10" t="inlineStr">
        <is>
          <t>Inventario vigente</t>
        </is>
      </c>
      <c r="L32" s="10" t="inlineStr">
        <is>
          <t>No se sabe</t>
        </is>
      </c>
      <c r="M32" s="10" t="inlineStr">
        <is>
          <t>2026-10-06</t>
        </is>
      </c>
      <c r="N32" s="10" t="inlineStr">
        <is>
          <t>Integrada al lago</t>
        </is>
      </c>
      <c r="O32" s="10" t="inlineStr">
        <is>
          <t>IA (Claude Code): búsqueda en el catálogo CKAN de BA Data; probada con descarga del script</t>
        </is>
      </c>
      <c r="P32" s="10" t="inlineStr">
        <is>
          <t>id en el lago: ba_sensores_transito. Solo inventario de sensores: las lecturas están en la API de Transporte, hoy suspendida.</t>
        </is>
      </c>
    </row>
    <row r="33">
      <c r="A33" s="10" t="inlineStr">
        <is>
          <t>F29</t>
        </is>
      </c>
      <c r="B33" s="10" t="inlineStr">
        <is>
          <t>Información Meteorológica</t>
        </is>
      </c>
      <c r="C33" s="10" t="inlineStr">
        <is>
          <t>GCBA · Agencia de Protección Ambiental</t>
        </is>
      </c>
      <c r="D33" s="10" t="inlineStr">
        <is>
          <t>Entidad pública</t>
        </is>
      </c>
      <c r="E33" s="10" t="inlineStr">
        <is>
          <t>https://cdn.buenosaires.gob.ar/datosabiertos/datasets/agencia-de-proteccion-ambiental/informacion-meteorologica/torres-de-monitoreo-inteligente-tmi.csv</t>
        </is>
      </c>
      <c r="F33" s="10" t="inlineStr">
        <is>
          <t>CSV</t>
        </is>
      </c>
      <c r="G33" s="10" t="inlineStr">
        <is>
          <t>Descarga directa</t>
        </is>
      </c>
      <c r="H33" s="10" t="inlineStr">
        <is>
          <t>CC-BY-2.5-AR</t>
        </is>
      </c>
      <c r="I33" s="10" t="inlineStr">
        <is>
          <t>No</t>
        </is>
      </c>
      <c r="J33" s="10" t="inlineStr">
        <is>
          <t>Ciudad, por comuna</t>
        </is>
      </c>
      <c r="K33" s="10" t="inlineStr">
        <is>
          <t>Inventario vigente</t>
        </is>
      </c>
      <c r="L33" s="10" t="inlineStr">
        <is>
          <t>No se sabe</t>
        </is>
      </c>
      <c r="M33" s="10" t="inlineStr">
        <is>
          <t>2026-10-06</t>
        </is>
      </c>
      <c r="N33" s="10" t="inlineStr">
        <is>
          <t>Integrada al lago</t>
        </is>
      </c>
      <c r="O33" s="10" t="inlineStr">
        <is>
          <t>IA (Claude Code): búsqueda en el catálogo CKAN de BA Data; probada con descarga del script</t>
        </is>
      </c>
      <c r="P33" s="10" t="inlineStr">
        <is>
          <t>id en el lago: ba_tmi. Solo inventario de torres; las lecturas abiertas llegan hasta 2012.</t>
        </is>
      </c>
    </row>
    <row r="34">
      <c r="A34" s="10" t="inlineStr">
        <is>
          <t>F30</t>
        </is>
      </c>
      <c r="B34" s="10" t="inlineStr">
        <is>
          <t>BA Data (CKAN)</t>
        </is>
      </c>
      <c r="C34" s="10" t="inlineStr">
        <is>
          <t>GCBA · BA Data (portal de datos abiertos)</t>
        </is>
      </c>
      <c r="D34" s="10" t="inlineStr">
        <is>
          <t>Entidad pública</t>
        </is>
      </c>
      <c r="E34" s="10" t="inlineStr">
        <is>
          <t>https://data.buenosaires.gob.ar/km/api/3/action/package_search?rows=1000</t>
        </is>
      </c>
      <c r="F34" s="10" t="inlineStr">
        <is>
          <t>JSON</t>
        </is>
      </c>
      <c r="G34" s="10" t="inlineStr">
        <is>
          <t>API sin llave</t>
        </is>
      </c>
      <c r="H34" s="10" t="inlineStr">
        <is>
          <t>por conjunto (cada conjunto declara la suya)</t>
        </is>
      </c>
      <c r="I34" s="10" t="inlineStr">
        <is>
          <t>No</t>
        </is>
      </c>
      <c r="J34" s="10" t="inlineStr">
        <is>
          <t>Ciudad</t>
        </is>
      </c>
      <c r="K34" s="10" t="inlineStr">
        <is>
          <t>Catálogo vigente</t>
        </is>
      </c>
      <c r="L34" s="10" t="inlineStr">
        <is>
          <t>Diaria</t>
        </is>
      </c>
      <c r="M34" s="10" t="inlineStr">
        <is>
          <t>2026-10-06</t>
        </is>
      </c>
      <c r="N34" s="10" t="inlineStr">
        <is>
          <t>Integrada al lago</t>
        </is>
      </c>
      <c r="O34" s="10" t="inlineStr">
        <is>
          <t>IA (Claude Code): identificó la API CKAN bajo /km/ y la probó con package_search</t>
        </is>
      </c>
      <c r="P34" s="10" t="inlineStr">
        <is>
          <t>id en el lago: ba_data_ckan. Es el inventario del portal (455 conjuntos), no un dato de la ciudad: sirve para el rastreo.</t>
        </is>
      </c>
    </row>
    <row r="35">
      <c r="A35" s="10" t="inlineStr">
        <is>
          <t>F31</t>
        </is>
      </c>
      <c r="B35" s="10" t="inlineStr">
        <is>
          <t>Sistema Único de Atención Ciudadana / BA Colaborativa (reclamos)</t>
        </is>
      </c>
      <c r="C35" s="10" t="inlineStr">
        <is>
          <t>GCBA · Atención Ciudadana</t>
        </is>
      </c>
      <c r="D35" s="10" t="inlineStr">
        <is>
          <t>Entidad pública</t>
        </is>
      </c>
      <c r="E35" s="10" t="inlineStr">
        <is>
          <t>https://cdn.buenosaires.gob.ar/datosabiertos/datasets/atencion-ciudadana/sistema-unico-atencion-ciudadana/sistema-unico-de-atencion-ciudadana-2025.csv</t>
        </is>
      </c>
      <c r="F35" s="10" t="inlineStr">
        <is>
          <t>CSV</t>
        </is>
      </c>
      <c r="G35" s="10" t="inlineStr">
        <is>
          <t>Descarga directa</t>
        </is>
      </c>
      <c r="H35" s="10" t="inlineStr">
        <is>
          <t>CC-BY-2.5-AR</t>
        </is>
      </c>
      <c r="I35" s="10" t="n"/>
      <c r="J35" s="10" t="inlineStr">
        <is>
          <t>Ciudad</t>
        </is>
      </c>
      <c r="K35" s="10" t="inlineStr">
        <is>
          <t>2011 a 2026</t>
        </is>
      </c>
      <c r="L35" s="10" t="inlineStr">
        <is>
          <t>Anual</t>
        </is>
      </c>
      <c r="M35" s="10" t="inlineStr">
        <is>
          <t>2026-10-06</t>
        </is>
      </c>
      <c r="N35" s="10" t="inlineStr">
        <is>
          <t>Descartada</t>
        </is>
      </c>
      <c r="O35" s="10" t="inlineStr">
        <is>
          <t>IA (Claude Code): búsqueda en el catálogo CKAN de BA Data; probada leyendo la ficha del portal y el tamaño del archivo, sin descargarlo</t>
        </is>
      </c>
      <c r="P35" s="10" t="inlineStr">
        <is>
          <t>Un CSV por año de 100 a 277 MB (~2 GB en total): se descartó por peso. No se abrió el contenido, así que no se sabe si trae datos de personas.</t>
        </is>
      </c>
    </row>
    <row r="36">
      <c r="A36" s="10" t="inlineStr">
        <is>
          <t>F32</t>
        </is>
      </c>
      <c r="B36" s="10" t="inlineStr">
        <is>
          <t>SUACI · Solicitudes por barrio (agregado)</t>
        </is>
      </c>
      <c r="C36" s="10" t="inlineStr">
        <is>
          <t>GCBA · Atención Ciudadana</t>
        </is>
      </c>
      <c r="D36" s="10" t="inlineStr">
        <is>
          <t>Entidad pública</t>
        </is>
      </c>
      <c r="E36" s="10" t="inlineStr">
        <is>
          <t>https://cdn.buenosaires.gob.ar/datosabiertos/datasets/sistema-unico-de-atencion-ciudadana/gcba_suaci_barrios.csv</t>
        </is>
      </c>
      <c r="F36" s="10" t="inlineStr">
        <is>
          <t>CSV</t>
        </is>
      </c>
      <c r="G36" s="10" t="inlineStr">
        <is>
          <t>Descarga directa</t>
        </is>
      </c>
      <c r="H36" s="10" t="inlineStr">
        <is>
          <t>CC-BY-2.5-AR</t>
        </is>
      </c>
      <c r="I36" s="10" t="n"/>
      <c r="J36" s="10" t="inlineStr">
        <is>
          <t>Ciudad, por barrio</t>
        </is>
      </c>
      <c r="K36" s="10" t="inlineStr">
        <is>
          <t>No se sabe</t>
        </is>
      </c>
      <c r="L36" s="10" t="inlineStr">
        <is>
          <t>No se sabe</t>
        </is>
      </c>
      <c r="M36" s="10" t="inlineStr">
        <is>
          <t>2026-10-06</t>
        </is>
      </c>
      <c r="N36" s="10" t="inlineStr">
        <is>
          <t>Candidata</t>
        </is>
      </c>
      <c r="O36" s="10" t="inlineStr">
        <is>
          <t>IA (Claude Code): búsqueda en el catálogo CKAN de BA Data; probada leyendo la ficha del portal y el tamaño del archivo, sin descargarlo</t>
        </is>
      </c>
      <c r="P36" s="10" t="inlineStr">
        <is>
          <t>Encontrada al revisar el SUACI: 2,7 MB, ya agregada por barrio. Resolvería el hueco de reclamos sin la descarga pesada. Falta abrirla y ver su periodo.</t>
        </is>
      </c>
    </row>
    <row r="37">
      <c r="A37" s="10" t="inlineStr">
        <is>
          <t>F33</t>
        </is>
      </c>
      <c r="B37" s="10" t="inlineStr">
        <is>
          <t>API Transporte Público (lecturas en tiempo real: subte, colectivos, EcoBici, tránsito)</t>
        </is>
      </c>
      <c r="C37" s="10" t="inlineStr">
        <is>
          <t>GCBA · Secretaría de Transporte</t>
        </is>
      </c>
      <c r="D37" s="10" t="inlineStr">
        <is>
          <t>Entidad pública</t>
        </is>
      </c>
      <c r="E37" s="10" t="inlineStr">
        <is>
          <t>https://api-transporte.buenosaires.gob.ar/</t>
        </is>
      </c>
      <c r="F37" s="10" t="inlineStr">
        <is>
          <t>JSON</t>
        </is>
      </c>
      <c r="G37" s="10" t="inlineStr">
        <is>
          <t>API con llave gratuita</t>
        </is>
      </c>
      <c r="H37" s="10" t="inlineStr">
        <is>
          <t>CC-BY-2.5-AR</t>
        </is>
      </c>
      <c r="I37" s="10" t="inlineStr">
        <is>
          <t>No</t>
        </is>
      </c>
      <c r="J37" s="10" t="inlineStr">
        <is>
          <t>Ciudad</t>
        </is>
      </c>
      <c r="K37" s="10" t="inlineStr">
        <is>
          <t>Tiempo real</t>
        </is>
      </c>
      <c r="L37" s="10" t="inlineStr">
        <is>
          <t>Tiempo real</t>
        </is>
      </c>
      <c r="M37" s="10" t="inlineStr">
        <is>
          <t>2026-10-06</t>
        </is>
      </c>
      <c r="N37" s="10" t="inlineStr">
        <is>
          <t>No responde</t>
        </is>
      </c>
      <c r="O37" s="10" t="inlineStr">
        <is>
          <t>IA (Claude Code): búsqueda en el catálogo CKAN de BA Data; probada leyendo la ficha del portal y el tamaño del archivo, sin descargarlo</t>
        </is>
      </c>
      <c r="P37" s="10" t="inlineStr">
        <is>
          <t>El portal avisa: «todos los datasets con Formato API y GTFS están suspendidos… en revisión y corrección». Antes se había anotado que faltaban credenciales: la causa real es la suspensión.</t>
        </is>
      </c>
    </row>
    <row r="38">
      <c r="A38" s="10" t="inlineStr">
        <is>
          <t>F34</t>
        </is>
      </c>
      <c r="B38" s="10" t="inlineStr">
        <is>
          <t>Colectivos: GTFS</t>
        </is>
      </c>
      <c r="C38" s="10" t="inlineStr">
        <is>
          <t>GCBA · Secretaría de Transporte</t>
        </is>
      </c>
      <c r="D38" s="10" t="inlineStr">
        <is>
          <t>Entidad pública</t>
        </is>
      </c>
      <c r="E38" s="10" t="inlineStr">
        <is>
          <t>https://data.buenosaires.gob.ar/km/dataset/colectivos-gtfs</t>
        </is>
      </c>
      <c r="F38" s="10" t="inlineStr">
        <is>
          <t>Otro</t>
        </is>
      </c>
      <c r="G38" s="10" t="inlineStr">
        <is>
          <t>Descarga directa</t>
        </is>
      </c>
      <c r="H38" s="10" t="inlineStr">
        <is>
          <t>CC-BY-2.5-AR</t>
        </is>
      </c>
      <c r="I38" s="10" t="inlineStr">
        <is>
          <t>No</t>
        </is>
      </c>
      <c r="J38" s="10" t="inlineStr">
        <is>
          <t>Ciudad</t>
        </is>
      </c>
      <c r="K38" s="10" t="inlineStr">
        <is>
          <t>No se sabe</t>
        </is>
      </c>
      <c r="L38" s="10" t="inlineStr">
        <is>
          <t>No se sabe</t>
        </is>
      </c>
      <c r="M38" s="10" t="inlineStr">
        <is>
          <t>2026-10-06</t>
        </is>
      </c>
      <c r="N38" s="10" t="inlineStr">
        <is>
          <t>No responde</t>
        </is>
      </c>
      <c r="O38" s="10" t="inlineStr">
        <is>
          <t>IA (Claude Code): búsqueda en el catálogo CKAN de BA Data; probada leyendo la ficha del portal y el tamaño del archivo, sin descargarlo</t>
        </is>
      </c>
      <c r="P38" s="10" t="inlineStr">
        <is>
          <t>Alcanzada por el mismo aviso de suspensión de los conjuntos GTFS. No se intentó la descarga.</t>
        </is>
      </c>
    </row>
    <row r="39">
      <c r="A39" s="10" t="inlineStr">
        <is>
          <t>F35</t>
        </is>
      </c>
      <c r="B39" s="10" t="inlineStr">
        <is>
          <t>Información Censal por Radio</t>
        </is>
      </c>
      <c r="C39" s="10" t="inlineStr">
        <is>
          <t>GCBA · Dirección General de Estadísticas y Censos</t>
        </is>
      </c>
      <c r="D39" s="10" t="inlineStr">
        <is>
          <t>Entidad pública</t>
        </is>
      </c>
      <c r="E39" s="10" t="inlineStr">
        <is>
          <t>https://cdn.buenosaires.gob.ar/datosabiertos/datasets/direccion-general-de-estadisticas-y-censos/informacion-censal-por-radio/informacion-censal-por-radio-2010.csv</t>
        </is>
      </c>
      <c r="F39" s="10" t="inlineStr">
        <is>
          <t>CSV</t>
        </is>
      </c>
      <c r="G39" s="10" t="inlineStr">
        <is>
          <t>Descarga directa</t>
        </is>
      </c>
      <c r="H39" s="10" t="inlineStr">
        <is>
          <t>CC-BY-2.5-AR</t>
        </is>
      </c>
      <c r="I39" s="10" t="inlineStr">
        <is>
          <t>Solo conteos por zona</t>
        </is>
      </c>
      <c r="J39" s="10" t="inlineStr">
        <is>
          <t>Ciudad, por radio censal</t>
        </is>
      </c>
      <c r="K39" s="10" t="inlineStr">
        <is>
          <t>Censos 2001 y 2010</t>
        </is>
      </c>
      <c r="L39" s="10" t="inlineStr">
        <is>
          <t>Única vez</t>
        </is>
      </c>
      <c r="M39" s="10" t="inlineStr">
        <is>
          <t>2026-10-06</t>
        </is>
      </c>
      <c r="N39" s="10" t="inlineStr">
        <is>
          <t>Descartada</t>
        </is>
      </c>
      <c r="O39" s="10" t="inlineStr">
        <is>
          <t>IA (Claude Code): la propuso como vía a la población 2022 por barrio</t>
        </is>
      </c>
      <c r="P39" s="10" t="inlineStr">
        <is>
          <t>Solo trae radios de 2001 y 2010: no da población 2022 por barrio, que era para lo que se buscaba.</t>
        </is>
      </c>
    </row>
    <row r="40">
      <c r="A40" s="10" t="inlineStr">
        <is>
          <t>F36</t>
        </is>
      </c>
      <c r="B40" s="10" t="inlineStr">
        <is>
          <t>Padrón de Establecimientos Educativos</t>
        </is>
      </c>
      <c r="C40" s="10" t="inlineStr">
        <is>
          <t>GCBA · Ministerio de Educación</t>
        </is>
      </c>
      <c r="D40" s="10" t="inlineStr">
        <is>
          <t>Entidad pública</t>
        </is>
      </c>
      <c r="E40" s="10" t="inlineStr">
        <is>
          <t>https://cdn.buenosaires.gob.ar/datosabiertos/datasets/ministerio-de-educacion/establecimientos-educativos/padron-establecimientos.csv</t>
        </is>
      </c>
      <c r="F40" s="10" t="inlineStr">
        <is>
          <t>CSV</t>
        </is>
      </c>
      <c r="G40" s="10" t="inlineStr">
        <is>
          <t>Descarga directa</t>
        </is>
      </c>
      <c r="H40" s="10" t="inlineStr">
        <is>
          <t>CC-BY-2.5-AR</t>
        </is>
      </c>
      <c r="I40" s="10" t="inlineStr">
        <is>
          <t>Personas identificables</t>
        </is>
      </c>
      <c r="J40" s="10" t="inlineStr">
        <is>
          <t>Ciudad</t>
        </is>
      </c>
      <c r="K40" s="10" t="inlineStr">
        <is>
          <t>Registro vigente</t>
        </is>
      </c>
      <c r="L40" s="10" t="inlineStr">
        <is>
          <t>No se sabe</t>
        </is>
      </c>
      <c r="M40" s="10" t="inlineStr">
        <is>
          <t>2026-10-06</t>
        </is>
      </c>
      <c r="N40" s="10" t="inlineStr">
        <is>
          <t>Descartada</t>
        </is>
      </c>
      <c r="O40" s="10" t="inlineStr">
        <is>
          <t>IA (Claude Code): búsqueda en el catálogo CKAN de BA Data; probada leyendo la ficha del portal y el tamaño del archivo, sin descargarlo</t>
        </is>
      </c>
      <c r="P40" s="10" t="inlineStr">
        <is>
          <t>Trae correos (algunos personales, de Gmail/Hotmail). Se usó «Establecimientos Educativos», que no los trae.</t>
        </is>
      </c>
    </row>
    <row r="41">
      <c r="A41" s="10" t="inlineStr">
        <is>
          <t>F37</t>
        </is>
      </c>
      <c r="B41" s="10" t="inlineStr">
        <is>
          <t>Edificios Públicos en 3D (escaneo LIDAR)</t>
        </is>
      </c>
      <c r="C41" s="10" t="inlineStr">
        <is>
          <t>GCBA · Secretaría de Desarrollo Urbano</t>
        </is>
      </c>
      <c r="D41" s="10" t="inlineStr">
        <is>
          <t>Entidad pública</t>
        </is>
      </c>
      <c r="E41" s="10" t="inlineStr">
        <is>
          <t>https://cdn.buenosaires.gob.ar/datosabiertos/datasets/secretaria-de-desarrollo-urbano/edificios-publicos-3d/cabildo.zip</t>
        </is>
      </c>
      <c r="F41" s="10" t="inlineStr">
        <is>
          <t>Otro</t>
        </is>
      </c>
      <c r="G41" s="10" t="inlineStr">
        <is>
          <t>Descarga directa</t>
        </is>
      </c>
      <c r="H41" s="10" t="inlineStr">
        <is>
          <t>CC-BY-2.5-AR</t>
        </is>
      </c>
      <c r="I41" s="10" t="inlineStr">
        <is>
          <t>No</t>
        </is>
      </c>
      <c r="J41" s="10" t="inlineStr">
        <is>
          <t>9 edificios emblemáticos</t>
        </is>
      </c>
      <c r="K41" s="10" t="inlineStr">
        <is>
          <t>No se sabe</t>
        </is>
      </c>
      <c r="L41" s="10" t="inlineStr">
        <is>
          <t>Única vez</t>
        </is>
      </c>
      <c r="M41" s="10" t="inlineStr">
        <is>
          <t>2026-10-06</t>
        </is>
      </c>
      <c r="N41" s="10" t="inlineStr">
        <is>
          <t>Descartada</t>
        </is>
      </c>
      <c r="O41" s="10" t="inlineStr">
        <is>
          <t>IA (Claude Code): búsqueda en el catálogo CKAN de BA Data; probada leyendo la ficha del portal y el tamaño del archivo, sin descargarlo</t>
        </is>
      </c>
      <c r="P41" s="10" t="inlineStr">
        <is>
          <t>Solo 9 edificios (Cabildo, Colón, Congreso…), de 51 a 599 MB cada uno: sirve de muestra, no para la ciudad.</t>
        </is>
      </c>
    </row>
    <row r="42">
      <c r="A42" s="10" t="inlineStr">
        <is>
          <t>F38</t>
        </is>
      </c>
      <c r="B42" s="10" t="inlineStr">
        <is>
          <t>Área edificable: volumen</t>
        </is>
      </c>
      <c r="C42" s="10" t="inlineStr">
        <is>
          <t>GCBA · Secretaría de Desarrollo Urbano</t>
        </is>
      </c>
      <c r="D42" s="10" t="inlineStr">
        <is>
          <t>Entidad pública</t>
        </is>
      </c>
      <c r="E42" s="10" t="inlineStr">
        <is>
          <t>https://cdn.buenosaires.gob.ar/datosabiertos/datasets/secretaria-de-desarrollo-urbano/area-edificable-volumen/volumen_edif.csv</t>
        </is>
      </c>
      <c r="F42" s="10" t="inlineStr">
        <is>
          <t>CSV</t>
        </is>
      </c>
      <c r="G42" s="10" t="inlineStr">
        <is>
          <t>Descarga directa</t>
        </is>
      </c>
      <c r="H42" s="10" t="inlineStr">
        <is>
          <t>CC-BY-2.5-AR</t>
        </is>
      </c>
      <c r="I42" s="10" t="inlineStr">
        <is>
          <t>No</t>
        </is>
      </c>
      <c r="J42" s="10" t="inlineStr">
        <is>
          <t>Ciudad, por parcela</t>
        </is>
      </c>
      <c r="K42" s="10" t="inlineStr">
        <is>
          <t>No se sabe</t>
        </is>
      </c>
      <c r="L42" s="10" t="inlineStr">
        <is>
          <t>No se sabe</t>
        </is>
      </c>
      <c r="M42" s="10" t="inlineStr">
        <is>
          <t>2026-10-06</t>
        </is>
      </c>
      <c r="N42" s="10" t="inlineStr">
        <is>
          <t>Descartada</t>
        </is>
      </c>
      <c r="O42" s="10" t="inlineStr">
        <is>
          <t>IA (Claude Code): búsqueda en el catálogo CKAN de BA Data; probada leyendo la ficha del portal y el tamaño del archivo, sin descargarlo</t>
        </is>
      </c>
      <c r="P42" s="10" t="inlineStr">
        <is>
          <t>Es el volumen que permite la norma, no lo construido (38 MB). Para alturas reales se usó Tejido Urbano.</t>
        </is>
      </c>
    </row>
    <row r="43">
      <c r="A43" s="10" t="inlineStr">
        <is>
          <t>F39</t>
        </is>
      </c>
      <c r="B43" s="10" t="inlineStr">
        <is>
          <t>IPC Nivel General Gran Buenos Aires (INDEC)</t>
        </is>
      </c>
      <c r="C43" s="10" t="inlineStr">
        <is>
          <t>INDEC</t>
        </is>
      </c>
      <c r="D43" s="10" t="inlineStr">
        <is>
          <t>Entidad pública</t>
        </is>
      </c>
      <c r="E43" s="10" t="inlineStr">
        <is>
          <t>https://apis.datos.gob.ar/series/api/series/?ids=145.3_INGGBAGBA_DICI_M_10</t>
        </is>
      </c>
      <c r="F43" s="10" t="inlineStr">
        <is>
          <t>JSON</t>
        </is>
      </c>
      <c r="G43" s="10" t="inlineStr">
        <is>
          <t>API sin llave</t>
        </is>
      </c>
      <c r="H43" s="10" t="inlineStr">
        <is>
          <t>Creative Commons Attribution 4.0</t>
        </is>
      </c>
      <c r="I43" s="10" t="inlineStr">
        <is>
          <t>No</t>
        </is>
      </c>
      <c r="J43" s="10" t="inlineStr">
        <is>
          <t>Gran Buenos Aires</t>
        </is>
      </c>
      <c r="K43" s="10" t="inlineStr">
        <is>
          <t>2016-12 a 2026-08</t>
        </is>
      </c>
      <c r="L43" s="10" t="inlineStr">
        <is>
          <t>Mensual</t>
        </is>
      </c>
      <c r="M43" s="10" t="inlineStr">
        <is>
          <t>2026-10-06</t>
        </is>
      </c>
      <c r="N43" s="10" t="inlineStr">
        <is>
          <t>Descartada</t>
        </is>
      </c>
      <c r="O43" s="10" t="inlineStr">
        <is>
          <t>IA (Claude Code): búsqueda en la API de series de datos.gob.ar; probada con la búsqueda de la API, sin descargar la serie</t>
        </is>
      </c>
      <c r="P43" s="10" t="inlineStr">
        <is>
          <t>Aparece en la búsqueda de la API con datos hasta 2026-08 (no se bajó la serie). Mide el aglomerado GBA: se prefirió el IPCBA, que mide la Ciudad.</t>
        </is>
      </c>
    </row>
    <row r="44">
      <c r="A44" s="10" t="inlineStr">
        <is>
          <t>F40</t>
        </is>
      </c>
      <c r="B44" s="10" t="inlineStr">
        <is>
          <t>Tasa de desempleo en hogares urbanos, CABA</t>
        </is>
      </c>
      <c r="C44" s="10" t="inlineStr">
        <is>
          <t>Datos Argentina (indicadores PMyE)</t>
        </is>
      </c>
      <c r="D44" s="10" t="inlineStr">
        <is>
          <t>Entidad pública</t>
        </is>
      </c>
      <c r="E44" s="10" t="inlineStr">
        <is>
          <t>https://apis.datos.gob.ar/series/api/series/?ids=obras_13_08_02</t>
        </is>
      </c>
      <c r="F44" s="10" t="inlineStr">
        <is>
          <t>JSON</t>
        </is>
      </c>
      <c r="G44" s="10" t="inlineStr">
        <is>
          <t>API sin llave</t>
        </is>
      </c>
      <c r="H44" s="10" t="n"/>
      <c r="I44" s="10" t="inlineStr">
        <is>
          <t>Solo conteos por zona</t>
        </is>
      </c>
      <c r="J44" s="10" t="inlineStr">
        <is>
          <t>Ciudad</t>
        </is>
      </c>
      <c r="K44" s="10" t="inlineStr">
        <is>
          <t>2019-10 a 2023-04</t>
        </is>
      </c>
      <c r="L44" s="10" t="inlineStr">
        <is>
          <t>Trimestral</t>
        </is>
      </c>
      <c r="M44" s="10" t="inlineStr">
        <is>
          <t>2026-10-06</t>
        </is>
      </c>
      <c r="N44" s="10" t="inlineStr">
        <is>
          <t>Descartada</t>
        </is>
      </c>
      <c r="O44" s="10" t="inlineStr">
        <is>
          <t>IA (Claude Code): búsqueda en la API de series de datos.gob.ar; probada con la búsqueda de la API, sin descargar la serie</t>
        </is>
      </c>
      <c r="P44" s="10" t="inlineStr">
        <is>
          <t>La búsqueda de la API la muestra cortada en 2023-04: vieja para el sistema. Se usó el empleo registrado (SIPA). Licencia no revisada.</t>
        </is>
      </c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</row>
  </sheetData>
  <dataValidations count="6">
    <dataValidation sqref="D5:D200" showDropDown="0" showInputMessage="0" showErrorMessage="0" allowBlank="1" error="Elijan una opción de la lista" type="list">
      <formula1>"Entidad pública,Academia u ONG,Plataforma colaborativa,Empresa privada,Medio de comunicación,No se sabe"</formula1>
    </dataValidation>
    <dataValidation sqref="F5:F200" showDropDown="0" showInputMessage="0" showErrorMessage="0" allowBlank="1" error="Elijan una opción de la lista" type="list">
      <formula1>"CSV,JSON,XLSX,Parquet,GeoJSON,Shapefile,PDF,Página web,Otro"</formula1>
    </dataValidation>
    <dataValidation sqref="G5:G200" showDropDown="0" showInputMessage="0" showErrorMessage="0" allowBlank="1" error="Elijan una opción de la lista" type="list">
      <formula1>"API sin llave,API con llave gratuita,Descarga directa,Solo PDF o página,Bloquea scripts o pide sesión"</formula1>
    </dataValidation>
    <dataValidation sqref="I5:I200" showDropDown="0" showInputMessage="0" showErrorMessage="0" allowBlank="1" error="Elijan una opción de la lista" type="list">
      <formula1>"No,Solo conteos por zona,Personas identificables,Texto libre sin revisar"</formula1>
    </dataValidation>
    <dataValidation sqref="L5:L200" showDropDown="0" showInputMessage="0" showErrorMessage="0" allowBlank="1" error="Elijan una opción de la lista" type="list">
      <formula1>"Tiempo real,Diaria,Mensual,Trimestral,Anual,Única vez,No se sabe"</formula1>
    </dataValidation>
    <dataValidation sqref="N5:N200" showDropDown="0" showInputMessage="0" showErrorMessage="0" allowBlank="1" error="Elijan una opción de la lista" type="list">
      <formula1>"Integrada al lago,Candidata,No responde,No existe (la inventó la IA),Descartada"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20" customWidth="1" min="2" max="2"/>
    <col width="22" customWidth="1" min="3" max="3"/>
    <col width="20" customWidth="1" min="4" max="4"/>
    <col width="36" customWidth="1" min="5" max="5"/>
    <col width="12" customWidth="1" min="6" max="6"/>
    <col width="16" customWidth="1" min="7" max="7"/>
    <col width="14" customWidth="1" min="8" max="8"/>
    <col width="11" customWidth="1" min="9" max="9"/>
    <col width="22" customWidth="1" min="10" max="10"/>
    <col width="16" customWidth="1" min="11" max="11"/>
    <col width="28" customWidth="1" min="12" max="12"/>
    <col width="32" customWidth="1" min="13" max="13"/>
  </cols>
  <sheetData>
    <row r="1" ht="18" customHeight="1">
      <c r="A1" s="6" t="inlineStr">
        <is>
          <t>2. Diccionario de datos</t>
        </is>
      </c>
    </row>
    <row r="2">
      <c r="A2" s="7" t="inlineStr">
        <is>
          <t>Una fila por campo que quedó en el lago. Si un campo del lago no aparece aquí, no existe.</t>
        </is>
      </c>
    </row>
    <row r="3" ht="42" customHeight="1">
      <c r="A3" s="8" t="inlineStr">
        <is>
          <t>ID fuente</t>
        </is>
      </c>
      <c r="B3" s="8" t="inlineStr">
        <is>
          <t>Archivo o tabla en el lago</t>
        </is>
      </c>
      <c r="C3" s="8" t="inlineStr">
        <is>
          <t>Nombre del campo en el lago</t>
        </is>
      </c>
      <c r="D3" s="8" t="inlineStr">
        <is>
          <t>Nombre original en la fuente</t>
        </is>
      </c>
      <c r="E3" s="8" t="inlineStr">
        <is>
          <t>Qué significa (en una frase)</t>
        </is>
      </c>
      <c r="F3" s="8" t="inlineStr">
        <is>
          <t>Tipo de dato</t>
        </is>
      </c>
      <c r="G3" s="8" t="inlineStr">
        <is>
          <t>Unidad de medida</t>
        </is>
      </c>
      <c r="H3" s="8" t="inlineStr">
        <is>
          <t>Ejemplo de valor</t>
        </is>
      </c>
      <c r="I3" s="8" t="inlineStr">
        <is>
          <t>¿Puede venir vacío?</t>
        </is>
      </c>
      <c r="J3" s="8" t="inlineStr">
        <is>
          <t>Valores permitidos o rango</t>
        </is>
      </c>
      <c r="K3" s="8" t="inlineStr">
        <is>
          <t>Clasificación</t>
        </is>
      </c>
      <c r="L3" s="8" t="inlineStr">
        <is>
          <t>Transformación que le hicieron</t>
        </is>
      </c>
      <c r="M3" s="8" t="inlineStr">
        <is>
          <t>Pregunta del sistema que ayuda a responder</t>
        </is>
      </c>
    </row>
    <row r="4" ht="39" customHeight="1">
      <c r="A4" s="9" t="inlineStr">
        <is>
          <t>F01</t>
        </is>
      </c>
      <c r="B4" s="9" t="inlineStr">
        <is>
          <t>lago/escucha.json</t>
        </is>
      </c>
      <c r="C4" s="9" t="inlineStr">
        <is>
          <t>vistas_ultimo_mes</t>
        </is>
      </c>
      <c r="D4" s="9" t="inlineStr">
        <is>
          <t>views</t>
        </is>
      </c>
      <c r="E4" s="9" t="inlineStr">
        <is>
          <t>Vistas del artículo de la ciudad hechas por personas en el último mes completo</t>
        </is>
      </c>
      <c r="F4" s="9" t="inlineStr">
        <is>
          <t>Entero</t>
        </is>
      </c>
      <c r="G4" s="9" t="inlineStr">
        <is>
          <t>vistas de personas</t>
        </is>
      </c>
      <c r="H4" s="9" t="inlineStr">
        <is>
          <t>19552</t>
        </is>
      </c>
      <c r="I4" s="9" t="inlineStr">
        <is>
          <t>No</t>
        </is>
      </c>
      <c r="J4" s="9" t="inlineStr">
        <is>
          <t>≥ 0</t>
        </is>
      </c>
      <c r="K4" s="9" t="inlineStr">
        <is>
          <t>Pública</t>
        </is>
      </c>
      <c r="L4" s="9" t="inlineStr">
        <is>
          <t>Se toma el último mes de la serie; la fecha AAAAMMDD se pasa a AAAA-MM</t>
        </is>
      </c>
      <c r="M4" s="9" t="inlineStr">
        <is>
          <t>¿Cuánto interés despierta la ciudad fuera de ella y cómo cambia en el año?</t>
        </is>
      </c>
    </row>
    <row r="5">
      <c r="A5" s="10" t="inlineStr">
        <is>
          <t>todas</t>
        </is>
      </c>
      <c r="B5" s="10" t="inlineStr">
        <is>
          <t>lago/*.json (todos)</t>
        </is>
      </c>
      <c r="C5" s="10" t="inlineStr">
        <is>
          <t>tema</t>
        </is>
      </c>
      <c r="D5" s="10" t="inlineStr">
        <is>
          <t>—</t>
        </is>
      </c>
      <c r="E5" s="10" t="inlineStr">
        <is>
          <t>Nombre del tema; coincide con el nombre del archivo</t>
        </is>
      </c>
      <c r="F5" s="10" t="inlineStr">
        <is>
          <t>Texto</t>
        </is>
      </c>
      <c r="G5" s="10" t="inlineStr">
        <is>
          <t>—</t>
        </is>
      </c>
      <c r="H5" s="10" t="inlineStr">
        <is>
          <t>seguridad</t>
        </is>
      </c>
      <c r="I5" s="10" t="inlineStr">
        <is>
          <t>No</t>
        </is>
      </c>
      <c r="J5" s="10" t="inlineStr">
        <is>
          <t>uno por archivo</t>
        </is>
      </c>
      <c r="K5" s="10" t="inlineStr">
        <is>
          <t>Pública</t>
        </is>
      </c>
      <c r="L5" s="10" t="inlineStr">
        <is>
          <t>Lo escribe el script</t>
        </is>
      </c>
      <c r="M5" s="10" t="inlineStr">
        <is>
          <t>Fuentes y método · ¿de dónde sale cada cifra y qué tan confiable es?</t>
        </is>
      </c>
    </row>
    <row r="6">
      <c r="A6" s="10" t="inlineStr">
        <is>
          <t>todas</t>
        </is>
      </c>
      <c r="B6" s="10" t="inlineStr">
        <is>
          <t>lago/*.json (todos)</t>
        </is>
      </c>
      <c r="C6" s="10" t="inlineStr">
        <is>
          <t>probado</t>
        </is>
      </c>
      <c r="D6" s="10" t="inlineStr">
        <is>
          <t>—</t>
        </is>
      </c>
      <c r="E6" s="10" t="inlineStr">
        <is>
          <t>Día en que la fuente respondió (fecha de la carpeta del crudo)</t>
        </is>
      </c>
      <c r="F6" s="10" t="inlineStr">
        <is>
          <t>Fecha</t>
        </is>
      </c>
      <c r="G6" s="10" t="inlineStr">
        <is>
          <t>AAAA-MM-DD</t>
        </is>
      </c>
      <c r="H6" s="10" t="inlineStr">
        <is>
          <t>2026-10-06</t>
        </is>
      </c>
      <c r="I6" s="10" t="inlineStr">
        <is>
          <t>No</t>
        </is>
      </c>
      <c r="J6" s="10" t="inlineStr">
        <is>
          <t>una fecha</t>
        </is>
      </c>
      <c r="K6" s="10" t="inlineStr">
        <is>
          <t>Pública</t>
        </is>
      </c>
      <c r="L6" s="10" t="inlineStr">
        <is>
          <t>Día de la descarga, sin hora</t>
        </is>
      </c>
      <c r="M6" s="10" t="inlineStr">
        <is>
          <t>Fuentes y método · ¿de dónde sale cada cifra y qué tan confiable es?</t>
        </is>
      </c>
    </row>
    <row r="7">
      <c r="A7" s="10" t="inlineStr">
        <is>
          <t>todas</t>
        </is>
      </c>
      <c r="B7" s="10" t="inlineStr">
        <is>
          <t>lago/*.json (todos)</t>
        </is>
      </c>
      <c r="C7" s="10" t="inlineStr">
        <is>
          <t>fuentes[] (id, nombre, url, estado, licencia)</t>
        </is>
      </c>
      <c r="D7" s="10" t="inlineStr">
        <is>
          <t>metadatos del portal</t>
        </is>
      </c>
      <c r="E7" s="10" t="inlineStr">
        <is>
          <t>Ficha corta de cada fuente usada en el archivo</t>
        </is>
      </c>
      <c r="F7" s="10" t="inlineStr">
        <is>
          <t>Texto</t>
        </is>
      </c>
      <c r="G7" s="10" t="inlineStr">
        <is>
          <t>—</t>
        </is>
      </c>
      <c r="H7" s="10" t="inlineStr">
        <is>
          <t>ba_delitos · CC-BY-2.5-AR</t>
        </is>
      </c>
      <c r="I7" s="10" t="inlineStr">
        <is>
          <t>No</t>
        </is>
      </c>
      <c r="J7" s="10" t="inlineStr">
        <is>
          <t>estado: vivo o declarado</t>
        </is>
      </c>
      <c r="K7" s="10" t="inlineStr">
        <is>
          <t>Pública</t>
        </is>
      </c>
      <c r="L7" s="10" t="inlineStr">
        <is>
          <t>id propio; licencia del portal</t>
        </is>
      </c>
      <c r="M7" s="10" t="inlineStr">
        <is>
          <t>Fuentes y método · ¿de dónde sale cada cifra y qué tan confiable es?</t>
        </is>
      </c>
    </row>
    <row r="8">
      <c r="A8" s="10" t="inlineStr">
        <is>
          <t>todas</t>
        </is>
      </c>
      <c r="B8" s="10" t="inlineStr">
        <is>
          <t>lago/*.json (todos)</t>
        </is>
      </c>
      <c r="C8" s="10" t="inlineStr">
        <is>
          <t>cifras.&lt;clave&gt;.valor / unidad / vigencia / fuente</t>
        </is>
      </c>
      <c r="D8" s="10" t="inlineStr">
        <is>
          <t>—</t>
        </is>
      </c>
      <c r="E8" s="10" t="inlineStr">
        <is>
          <t>Cada cifra con su valor, unidad, vigencia (AAAA o AAAA-MM) y fuente</t>
        </is>
      </c>
      <c r="F8" s="10" t="inlineStr">
        <is>
          <t>Decimal</t>
        </is>
      </c>
      <c r="G8" s="10" t="inlineStr">
        <is>
          <t>la de cada cifra</t>
        </is>
      </c>
      <c r="H8" s="10" t="inlineStr">
        <is>
          <t>158838 · delitos registrados · 2024</t>
        </is>
      </c>
      <c r="I8" s="10" t="inlineStr">
        <is>
          <t>No</t>
        </is>
      </c>
      <c r="J8" s="10" t="inlineStr">
        <is>
          <t>valor ≥ 0 salvo coeficientes</t>
        </is>
      </c>
      <c r="K8" s="10" t="inlineStr">
        <is>
          <t>Pública</t>
        </is>
      </c>
      <c r="L8" s="10" t="inlineStr">
        <is>
          <t>El verificador exige los 4 campos</t>
        </is>
      </c>
      <c r="M8" s="10" t="inlineStr">
        <is>
          <t>Fuentes y método · ¿de dónde sale cada cifra y qué tan confiable es?</t>
        </is>
      </c>
    </row>
    <row r="9">
      <c r="A9" s="10" t="inlineStr">
        <is>
          <t>todas</t>
        </is>
      </c>
      <c r="B9" s="10" t="inlineStr">
        <is>
          <t>lago/*.json (todos)</t>
        </is>
      </c>
      <c r="C9" s="10" t="inlineStr">
        <is>
          <t>series.&lt;clave&gt;.puntos</t>
        </is>
      </c>
      <c r="D9" s="10" t="inlineStr">
        <is>
          <t>—</t>
        </is>
      </c>
      <c r="E9" s="10" t="inlineStr">
        <is>
          <t>Serie temporal: pares [periodo, número]</t>
        </is>
      </c>
      <c r="F9" s="10" t="inlineStr">
        <is>
          <t>Decimal</t>
        </is>
      </c>
      <c r="G9" s="10" t="inlineStr">
        <is>
          <t>la de cada serie</t>
        </is>
      </c>
      <c r="H9" s="10" t="inlineStr">
        <is>
          <t>["2024-01", 13626]</t>
        </is>
      </c>
      <c r="I9" s="10" t="inlineStr">
        <is>
          <t>No</t>
        </is>
      </c>
      <c r="J9" s="10" t="inlineStr">
        <is>
          <t>periodo AAAA o AAAA-MM</t>
        </is>
      </c>
      <c r="K9" s="10" t="inlineStr">
        <is>
          <t>Pública</t>
        </is>
      </c>
      <c r="L9" s="10" t="inlineStr">
        <is>
          <t>Fechas normalizadas a AAAA-MM</t>
        </is>
      </c>
      <c r="M9" s="10" t="inlineStr">
        <is>
          <t>Fuentes y método · ¿de dónde sale cada cifra y qué tan confiable es?</t>
        </is>
      </c>
    </row>
    <row r="10">
      <c r="A10" s="10" t="inlineStr">
        <is>
          <t>todas</t>
        </is>
      </c>
      <c r="B10" s="10" t="inlineStr">
        <is>
          <t>lago/*.json (todos)</t>
        </is>
      </c>
      <c r="C10" s="10" t="inlineStr">
        <is>
          <t>desgloses.&lt;clave&gt;.filas</t>
        </is>
      </c>
      <c r="D10" s="10" t="inlineStr">
        <is>
          <t>—</t>
        </is>
      </c>
      <c r="E10" s="10" t="inlineStr">
        <is>
          <t>Reparto de una cifra: pares [categoría, número], ordenados de mayor a menor</t>
        </is>
      </c>
      <c r="F10" s="10" t="inlineStr">
        <is>
          <t>Decimal</t>
        </is>
      </c>
      <c r="G10" s="10" t="inlineStr">
        <is>
          <t>la de cada desglose</t>
        </is>
      </c>
      <c r="H10" s="10" t="inlineStr">
        <is>
          <t>["PALERMO", 12794]</t>
        </is>
      </c>
      <c r="I10" s="10" t="inlineStr">
        <is>
          <t>No</t>
        </is>
      </c>
      <c r="J10" s="10" t="inlineStr">
        <is>
          <t>categorías de la fuente</t>
        </is>
      </c>
      <c r="K10" s="10" t="inlineStr">
        <is>
          <t>Pública</t>
        </is>
      </c>
      <c r="L10" s="10" t="inlineStr">
        <is>
          <t>Agregado: nunca un registro individual</t>
        </is>
      </c>
      <c r="M10" s="10" t="inlineStr">
        <is>
          <t>Fuentes y método · ¿de dónde sale cada cifra y qué tan confiable es?</t>
        </is>
      </c>
    </row>
    <row r="11">
      <c r="A11" s="10" t="inlineStr">
        <is>
          <t>todas</t>
        </is>
      </c>
      <c r="B11" s="10" t="inlineStr">
        <is>
          <t>lago/*.json (todos)</t>
        </is>
      </c>
      <c r="C11" s="10" t="inlineStr">
        <is>
          <t>nota</t>
        </is>
      </c>
      <c r="D11" s="10" t="inlineStr">
        <is>
          <t>—</t>
        </is>
      </c>
      <c r="E11" s="10" t="inlineStr">
        <is>
          <t>Advertencias para leer bien las cifras (cobertura, rezagos, sesgos)</t>
        </is>
      </c>
      <c r="F11" s="10" t="inlineStr">
        <is>
          <t>Texto</t>
        </is>
      </c>
      <c r="G11" s="10" t="inlineStr">
        <is>
          <t>—</t>
        </is>
      </c>
      <c r="H11" s="10" t="inlineStr">
        <is>
          <t>Son hechos registrados, no tasas…</t>
        </is>
      </c>
      <c r="I11" s="10" t="inlineStr">
        <is>
          <t>No</t>
        </is>
      </c>
      <c r="J11" s="10" t="inlineStr">
        <is>
          <t>texto libre escrito por el grupo</t>
        </is>
      </c>
      <c r="K11" s="10" t="inlineStr">
        <is>
          <t>Pública</t>
        </is>
      </c>
      <c r="L11" s="10" t="inlineStr">
        <is>
          <t>—</t>
        </is>
      </c>
      <c r="M11" s="10" t="inlineStr">
        <is>
          <t>Fuentes y método · ¿de dónde sale cada cifra y qué tan confiable es?</t>
        </is>
      </c>
    </row>
    <row r="12">
      <c r="A12" s="10" t="inlineStr">
        <is>
          <t>F01</t>
        </is>
      </c>
      <c r="B12" s="10" t="inlineStr">
        <is>
          <t>lago/atlas_distritos.json · cifras</t>
        </is>
      </c>
      <c r="C12" s="10" t="inlineStr">
        <is>
          <t>registros</t>
        </is>
      </c>
      <c r="D12" s="10" t="inlineStr">
        <is>
          <t>features del GeoJSON</t>
        </is>
      </c>
      <c r="E12" s="10" t="inlineStr">
        <is>
          <t>Cantidad de barrios de la Ciudad</t>
        </is>
      </c>
      <c r="F12" s="10" t="inlineStr">
        <is>
          <t>Entero</t>
        </is>
      </c>
      <c r="G12" s="10" t="inlineStr">
        <is>
          <t>barrios</t>
        </is>
      </c>
      <c r="H12" s="10" t="inlineStr">
        <is>
          <t>48 (2026-07)</t>
        </is>
      </c>
      <c r="I12" s="10" t="inlineStr">
        <is>
          <t>No</t>
        </is>
      </c>
      <c r="J12" s="10" t="inlineStr">
        <is>
          <t>≥ 0</t>
        </is>
      </c>
      <c r="K12" s="10" t="inlineStr">
        <is>
          <t>Pública</t>
        </is>
      </c>
      <c r="L12" s="10" t="inlineStr">
        <is>
          <t>Conteo de polígonos</t>
        </is>
      </c>
      <c r="M12" s="10" t="inlineStr">
        <is>
          <t>P1 · ¿Cuánta gente vive en cada barrio y qué servicios de salud, educación y cultura tiene cerca?</t>
        </is>
      </c>
    </row>
    <row r="13">
      <c r="A13" s="10" t="inlineStr">
        <is>
          <t>F01</t>
        </is>
      </c>
      <c r="B13" s="10" t="inlineStr">
        <is>
          <t>lago/atlas_distritos.json · desgloses</t>
        </is>
      </c>
      <c r="C13" s="10" t="inlineStr">
        <is>
          <t>area_km2_por_barrio</t>
        </is>
      </c>
      <c r="D13" s="10" t="inlineStr">
        <is>
          <t>area (m²)</t>
        </is>
      </c>
      <c r="E13" s="10" t="inlineStr">
        <is>
          <t>Superficie de cada barrio (desglose [categoría, valor])</t>
        </is>
      </c>
      <c r="F13" s="10" t="inlineStr">
        <is>
          <t>Decimal</t>
        </is>
      </c>
      <c r="G13" s="10" t="inlineStr">
        <is>
          <t>km2</t>
        </is>
      </c>
      <c r="H13" s="10" t="inlineStr">
        <is>
          <t>["Agronomia", 2.12]</t>
        </is>
      </c>
      <c r="I13" s="10" t="inlineStr">
        <is>
          <t>No</t>
        </is>
      </c>
      <c r="J13" s="10" t="inlineStr">
        <is>
          <t>≥ 0</t>
        </is>
      </c>
      <c r="K13" s="10" t="inlineStr">
        <is>
          <t>Pública</t>
        </is>
      </c>
      <c r="L13" s="10" t="inlineStr">
        <is>
          <t>m² → km², 2 decimales</t>
        </is>
      </c>
      <c r="M13" s="10" t="inlineStr">
        <is>
          <t>P1 · ¿Cuánta gente vive en cada barrio y qué servicios de salud, educación y cultura tiene cerca?</t>
        </is>
      </c>
    </row>
    <row r="14">
      <c r="A14" s="10" t="inlineStr">
        <is>
          <t>F01</t>
        </is>
      </c>
      <c r="B14" s="10" t="inlineStr">
        <is>
          <t>lago/atlas_distritos.json · desgloses</t>
        </is>
      </c>
      <c r="C14" s="10" t="inlineStr">
        <is>
          <t>comuna_por_barrio</t>
        </is>
      </c>
      <c r="D14" s="10" t="inlineStr">
        <is>
          <t>comuna</t>
        </is>
      </c>
      <c r="E14" s="10" t="inlineStr">
        <is>
          <t>Comuna a la que pertenece cada barrio (desglose [categoría, valor])</t>
        </is>
      </c>
      <c r="F14" s="10" t="inlineStr">
        <is>
          <t>Entero</t>
        </is>
      </c>
      <c r="G14" s="10" t="inlineStr">
        <is>
          <t>número de comuna</t>
        </is>
      </c>
      <c r="H14" s="10" t="inlineStr">
        <is>
          <t>["Agronomia", 15]</t>
        </is>
      </c>
      <c r="I14" s="10" t="inlineStr">
        <is>
          <t>No</t>
        </is>
      </c>
      <c r="J14" s="10" t="inlineStr">
        <is>
          <t>≥ 0</t>
        </is>
      </c>
      <c r="K14" s="10" t="inlineStr">
        <is>
          <t>Pública</t>
        </is>
      </c>
      <c r="L14" s="10" t="inlineStr">
        <is>
          <t>Se copia tal cual</t>
        </is>
      </c>
      <c r="M14" s="10" t="inlineStr">
        <is>
          <t>P1 · ¿Cuánta gente vive en cada barrio y qué servicios de salud, educación y cultura tiene cerca?</t>
        </is>
      </c>
    </row>
    <row r="15">
      <c r="A15" s="10" t="inlineStr">
        <is>
          <t>F01</t>
        </is>
      </c>
      <c r="B15" s="10" t="inlineStr">
        <is>
          <t>lago/atlas_distritos.json</t>
        </is>
      </c>
      <c r="C15" s="10" t="inlineStr">
        <is>
          <t>campos</t>
        </is>
      </c>
      <c r="D15" s="10" t="inlineStr">
        <is>
          <t>metadatos del portal</t>
        </is>
      </c>
      <c r="E15" s="10" t="inlineStr">
        <is>
          <t>Nombres de columnas del crudo, para trazabilidad</t>
        </is>
      </c>
      <c r="F15" s="10" t="inlineStr">
        <is>
          <t>Texto</t>
        </is>
      </c>
      <c r="G15" s="10" t="inlineStr">
        <is>
          <t>—</t>
        </is>
      </c>
      <c r="H15" s="10" t="inlineStr">
        <is>
          <t>area_metro</t>
        </is>
      </c>
      <c r="I15" s="10" t="inlineStr">
        <is>
          <t>No</t>
        </is>
      </c>
      <c r="J15" s="10" t="inlineStr">
        <is>
          <t>—</t>
        </is>
      </c>
      <c r="K15" s="10" t="inlineStr">
        <is>
          <t>Pública</t>
        </is>
      </c>
      <c r="L15" s="10" t="inlineStr">
        <is>
          <t>Se copian de la cabecera</t>
        </is>
      </c>
      <c r="M15" s="10" t="inlineStr">
        <is>
          <t>Fuentes y método · ¿de dónde sale cada cifra y qué tan confiable es?</t>
        </is>
      </c>
    </row>
    <row r="16">
      <c r="A16" s="10" t="inlineStr">
        <is>
          <t>F01</t>
        </is>
      </c>
      <c r="B16" s="10" t="inlineStr">
        <is>
          <t>lago/atlas_distritos.json</t>
        </is>
      </c>
      <c r="C16" s="10" t="inlineStr">
        <is>
          <t>recurso</t>
        </is>
      </c>
      <c r="D16" s="10" t="inlineStr">
        <is>
          <t>metadatos del portal</t>
        </is>
      </c>
      <c r="E16" s="10" t="inlineStr">
        <is>
          <t>Nombre, URL y formato del recurso descargado</t>
        </is>
      </c>
      <c r="F16" s="10" t="inlineStr">
        <is>
          <t>Texto</t>
        </is>
      </c>
      <c r="G16" s="10" t="inlineStr">
        <is>
          <t>—</t>
        </is>
      </c>
      <c r="H16" s="10" t="inlineStr">
        <is>
          <t>{'formato': 'GeoJSON', 'nombre': 'Barrios (GeoJSON)', 'url': 'https://cdn.buenos</t>
        </is>
      </c>
      <c r="I16" s="10" t="inlineStr">
        <is>
          <t>No</t>
        </is>
      </c>
      <c r="J16" s="10" t="inlineStr">
        <is>
          <t>—</t>
        </is>
      </c>
      <c r="K16" s="10" t="inlineStr">
        <is>
          <t>Pública</t>
        </is>
      </c>
      <c r="L16" s="10" t="inlineStr">
        <is>
          <t>Se copian del portal</t>
        </is>
      </c>
      <c r="M16" s="10" t="inlineStr">
        <is>
          <t>Fuentes y método · ¿de dónde sale cada cifra y qué tan confiable es?</t>
        </is>
      </c>
    </row>
    <row r="17">
      <c r="A17" s="10" t="inlineStr">
        <is>
          <t>F02</t>
        </is>
      </c>
      <c r="B17" s="10" t="inlineStr">
        <is>
          <t>lago/atlas_zonas.json · cifras</t>
        </is>
      </c>
      <c r="C17" s="10" t="inlineStr">
        <is>
          <t>registros</t>
        </is>
      </c>
      <c r="D17" s="10" t="inlineStr">
        <is>
          <t>features del GeoJSON</t>
        </is>
      </c>
      <c r="E17" s="10" t="inlineStr">
        <is>
          <t>Cantidad de comunas</t>
        </is>
      </c>
      <c r="F17" s="10" t="inlineStr">
        <is>
          <t>Entero</t>
        </is>
      </c>
      <c r="G17" s="10" t="inlineStr">
        <is>
          <t>comunas</t>
        </is>
      </c>
      <c r="H17" s="10" t="inlineStr">
        <is>
          <t>15 (2026-07)</t>
        </is>
      </c>
      <c r="I17" s="10" t="inlineStr">
        <is>
          <t>No</t>
        </is>
      </c>
      <c r="J17" s="10" t="inlineStr">
        <is>
          <t>≥ 0</t>
        </is>
      </c>
      <c r="K17" s="10" t="inlineStr">
        <is>
          <t>Pública</t>
        </is>
      </c>
      <c r="L17" s="10" t="inlineStr">
        <is>
          <t>Conteo de polígonos</t>
        </is>
      </c>
      <c r="M17" s="10" t="inlineStr">
        <is>
          <t>P1 · ¿Cuánta gente vive en cada barrio y qué servicios de salud, educación y cultura tiene cerca?</t>
        </is>
      </c>
    </row>
    <row r="18">
      <c r="A18" s="10" t="inlineStr">
        <is>
          <t>F02</t>
        </is>
      </c>
      <c r="B18" s="10" t="inlineStr">
        <is>
          <t>lago/atlas_zonas.json · desgloses</t>
        </is>
      </c>
      <c r="C18" s="10" t="inlineStr">
        <is>
          <t>area_km2_por_comuna</t>
        </is>
      </c>
      <c r="D18" s="10" t="inlineStr">
        <is>
          <t>area (m²)</t>
        </is>
      </c>
      <c r="E18" s="10" t="inlineStr">
        <is>
          <t>Superficie de cada comuna (desglose [categoría, valor])</t>
        </is>
      </c>
      <c r="F18" s="10" t="inlineStr">
        <is>
          <t>Decimal</t>
        </is>
      </c>
      <c r="G18" s="10" t="inlineStr">
        <is>
          <t>km2</t>
        </is>
      </c>
      <c r="H18" s="10" t="inlineStr">
        <is>
          <t>["Comuna 1", 17.8]</t>
        </is>
      </c>
      <c r="I18" s="10" t="inlineStr">
        <is>
          <t>No</t>
        </is>
      </c>
      <c r="J18" s="10" t="inlineStr">
        <is>
          <t>≥ 0</t>
        </is>
      </c>
      <c r="K18" s="10" t="inlineStr">
        <is>
          <t>Pública</t>
        </is>
      </c>
      <c r="L18" s="10" t="inlineStr">
        <is>
          <t>m² → km², 1 decimal</t>
        </is>
      </c>
      <c r="M18" s="10" t="inlineStr">
        <is>
          <t>P1 · ¿Cuánta gente vive en cada barrio y qué servicios de salud, educación y cultura tiene cerca?</t>
        </is>
      </c>
    </row>
    <row r="19">
      <c r="A19" s="10" t="inlineStr">
        <is>
          <t>F02</t>
        </is>
      </c>
      <c r="B19" s="10" t="inlineStr">
        <is>
          <t>lago/atlas_zonas.json</t>
        </is>
      </c>
      <c r="C19" s="10" t="inlineStr">
        <is>
          <t>campos</t>
        </is>
      </c>
      <c r="D19" s="10" t="inlineStr">
        <is>
          <t>metadatos del portal</t>
        </is>
      </c>
      <c r="E19" s="10" t="inlineStr">
        <is>
          <t>Nombres de columnas del crudo, para trazabilidad</t>
        </is>
      </c>
      <c r="F19" s="10" t="inlineStr">
        <is>
          <t>Texto</t>
        </is>
      </c>
      <c r="G19" s="10" t="inlineStr">
        <is>
          <t>—</t>
        </is>
      </c>
      <c r="H19" s="10" t="inlineStr">
        <is>
          <t>area</t>
        </is>
      </c>
      <c r="I19" s="10" t="inlineStr">
        <is>
          <t>No</t>
        </is>
      </c>
      <c r="J19" s="10" t="inlineStr">
        <is>
          <t>—</t>
        </is>
      </c>
      <c r="K19" s="10" t="inlineStr">
        <is>
          <t>Pública</t>
        </is>
      </c>
      <c r="L19" s="10" t="inlineStr">
        <is>
          <t>Se copian de la cabecera</t>
        </is>
      </c>
      <c r="M19" s="10" t="inlineStr">
        <is>
          <t>Fuentes y método · ¿de dónde sale cada cifra y qué tan confiable es?</t>
        </is>
      </c>
    </row>
    <row r="20">
      <c r="A20" s="10" t="inlineStr">
        <is>
          <t>F02</t>
        </is>
      </c>
      <c r="B20" s="10" t="inlineStr">
        <is>
          <t>lago/atlas_zonas.json</t>
        </is>
      </c>
      <c r="C20" s="10" t="inlineStr">
        <is>
          <t>recurso</t>
        </is>
      </c>
      <c r="D20" s="10" t="inlineStr">
        <is>
          <t>metadatos del portal</t>
        </is>
      </c>
      <c r="E20" s="10" t="inlineStr">
        <is>
          <t>Nombre, URL y formato del recurso descargado</t>
        </is>
      </c>
      <c r="F20" s="10" t="inlineStr">
        <is>
          <t>Texto</t>
        </is>
      </c>
      <c r="G20" s="10" t="inlineStr">
        <is>
          <t>—</t>
        </is>
      </c>
      <c r="H20" s="10" t="inlineStr">
        <is>
          <t>{'formato': 'JSON', 'nombre': 'Comunas (GeoJSON)', 'url': 'https://cdn.buenosair</t>
        </is>
      </c>
      <c r="I20" s="10" t="inlineStr">
        <is>
          <t>No</t>
        </is>
      </c>
      <c r="J20" s="10" t="inlineStr">
        <is>
          <t>—</t>
        </is>
      </c>
      <c r="K20" s="10" t="inlineStr">
        <is>
          <t>Pública</t>
        </is>
      </c>
      <c r="L20" s="10" t="inlineStr">
        <is>
          <t>Se copian del portal</t>
        </is>
      </c>
      <c r="M20" s="10" t="inlineStr">
        <is>
          <t>Fuentes y método · ¿de dónde sale cada cifra y qué tan confiable es?</t>
        </is>
      </c>
    </row>
    <row r="21">
      <c r="A21" s="10" t="inlineStr">
        <is>
          <t>F18</t>
        </is>
      </c>
      <c r="B21" s="10" t="inlineStr">
        <is>
          <t>lago/calidad_aire.json · cifras</t>
        </is>
      </c>
      <c r="C21" s="10" t="inlineStr">
        <is>
          <t>estaciones_ambientales</t>
        </is>
      </c>
      <c r="D21" s="10" t="inlineStr">
        <is>
          <t>nombre (estaciones.csv)</t>
        </is>
      </c>
      <c r="E21" s="10" t="inlineStr">
        <is>
          <t>Estaciones de monitoreo del aire de la Ciudad</t>
        </is>
      </c>
      <c r="F21" s="10" t="inlineStr">
        <is>
          <t>Entero</t>
        </is>
      </c>
      <c r="G21" s="10" t="inlineStr">
        <is>
          <t>estaciones ambientales</t>
        </is>
      </c>
      <c r="H21" s="10" t="inlineStr">
        <is>
          <t>4 (2026-10)</t>
        </is>
      </c>
      <c r="I21" s="10" t="inlineStr">
        <is>
          <t>No</t>
        </is>
      </c>
      <c r="J21" s="10" t="inlineStr">
        <is>
          <t>≥ 0</t>
        </is>
      </c>
      <c r="K21" s="10" t="inlineStr">
        <is>
          <t>Pública</t>
        </is>
      </c>
      <c r="L21" s="10" t="inlineStr">
        <is>
          <t>Conteo de filas</t>
        </is>
      </c>
      <c r="M21" s="10" t="inlineStr">
        <is>
          <t>P5 · ¿Qué hay construido, cuánto verde queda y cómo está el ambiente?</t>
        </is>
      </c>
    </row>
    <row r="22">
      <c r="A22" s="10" t="inlineStr">
        <is>
          <t>F18</t>
        </is>
      </c>
      <c r="B22" s="10" t="inlineStr">
        <is>
          <t>lago/calidad_aire.json · cifras</t>
        </is>
      </c>
      <c r="C22" s="10" t="inlineStr">
        <is>
          <t>lecturas_horarias</t>
        </is>
      </c>
      <c r="D22" s="10" t="inlineStr">
        <is>
          <t>fecha, hora</t>
        </is>
      </c>
      <c r="E22" s="10" t="inlineStr">
        <is>
          <t>Horas con registro en el año</t>
        </is>
      </c>
      <c r="F22" s="10" t="inlineStr">
        <is>
          <t>Entero</t>
        </is>
      </c>
      <c r="G22" s="10" t="inlineStr">
        <is>
          <t>filas fecha-hora</t>
        </is>
      </c>
      <c r="H22" s="10" t="inlineStr">
        <is>
          <t>8422 (2025)</t>
        </is>
      </c>
      <c r="I22" s="10" t="inlineStr">
        <is>
          <t>No</t>
        </is>
      </c>
      <c r="J22" s="10" t="inlineStr">
        <is>
          <t>≥ 0</t>
        </is>
      </c>
      <c r="K22" s="10" t="inlineStr">
        <is>
          <t>Pública</t>
        </is>
      </c>
      <c r="L22" s="10" t="inlineStr">
        <is>
          <t>Conteo de filas fecha-hora</t>
        </is>
      </c>
      <c r="M22" s="10" t="inlineStr">
        <is>
          <t>P5 · ¿Qué hay construido, cuánto verde queda y cómo está el ambiente?</t>
        </is>
      </c>
    </row>
    <row r="23">
      <c r="A23" s="10" t="inlineStr">
        <is>
          <t>F18</t>
        </is>
      </c>
      <c r="B23" s="10" t="inlineStr">
        <is>
          <t>lago/calidad_aire.json · desgloses</t>
        </is>
      </c>
      <c r="C23" s="10" t="inlineStr">
        <is>
          <t>promedio_co_por_estacion</t>
        </is>
      </c>
      <c r="D23" s="10" t="inlineStr">
        <is>
          <t>co_&lt;estación&gt;</t>
        </is>
      </c>
      <c r="E23" s="10" t="inlineStr">
        <is>
          <t>Monóxido de carbono promedio del año en cada estación (desglose [categoría, valor])</t>
        </is>
      </c>
      <c r="F23" s="10" t="inlineStr">
        <is>
          <t>Decimal</t>
        </is>
      </c>
      <c r="G23" s="10" t="inlineStr">
        <is>
          <t>ppm (promedio móvil 8 h)</t>
        </is>
      </c>
      <c r="H23" s="10" t="inlineStr">
        <is>
          <t>["centenario", 0.47]</t>
        </is>
      </c>
      <c r="I23" s="10" t="inlineStr">
        <is>
          <t>No</t>
        </is>
      </c>
      <c r="J23" s="10" t="inlineStr">
        <is>
          <t>≥ 0</t>
        </is>
      </c>
      <c r="K23" s="10" t="inlineStr">
        <is>
          <t>Pública</t>
        </is>
      </c>
      <c r="L23" s="10" t="inlineStr">
        <is>
          <t>Coma decimal → punto; promedio sin vacíos; ppm (no µg/m³)</t>
        </is>
      </c>
      <c r="M23" s="10" t="inlineStr">
        <is>
          <t>P5 · ¿Qué hay construido, cuánto verde queda y cómo está el ambiente?</t>
        </is>
      </c>
    </row>
    <row r="24">
      <c r="A24" s="10" t="inlineStr">
        <is>
          <t>F18</t>
        </is>
      </c>
      <c r="B24" s="10" t="inlineStr">
        <is>
          <t>lago/calidad_aire.json · desgloses</t>
        </is>
      </c>
      <c r="C24" s="10" t="inlineStr">
        <is>
          <t>promedio_no2_por_estacion</t>
        </is>
      </c>
      <c r="D24" s="10" t="inlineStr">
        <is>
          <t>no2_&lt;estación&gt;</t>
        </is>
      </c>
      <c r="E24" s="10" t="inlineStr">
        <is>
          <t>Dióxido de nitrógeno promedio del año en cada estación (desglose [categoría, valor])</t>
        </is>
      </c>
      <c r="F24" s="10" t="inlineStr">
        <is>
          <t>Decimal</t>
        </is>
      </c>
      <c r="G24" s="10" t="inlineStr">
        <is>
          <t>ppb (promedio horario)</t>
        </is>
      </c>
      <c r="H24" s="10" t="inlineStr">
        <is>
          <t>["centenario", 15.09]</t>
        </is>
      </c>
      <c r="I24" s="10" t="inlineStr">
        <is>
          <t>No</t>
        </is>
      </c>
      <c r="J24" s="10" t="inlineStr">
        <is>
          <t>≥ 0</t>
        </is>
      </c>
      <c r="K24" s="10" t="inlineStr">
        <is>
          <t>Pública</t>
        </is>
      </c>
      <c r="L24" s="10" t="inlineStr">
        <is>
          <t>Coma decimal → punto; promedio sin vacíos; ppb</t>
        </is>
      </c>
      <c r="M24" s="10" t="inlineStr">
        <is>
          <t>P5 · ¿Qué hay construido, cuánto verde queda y cómo está el ambiente?</t>
        </is>
      </c>
    </row>
    <row r="25">
      <c r="A25" s="10" t="inlineStr">
        <is>
          <t>F18</t>
        </is>
      </c>
      <c r="B25" s="10" t="inlineStr">
        <is>
          <t>lago/calidad_aire.json · desgloses</t>
        </is>
      </c>
      <c r="C25" s="10" t="inlineStr">
        <is>
          <t>promedio_pm10_por_estacion</t>
        </is>
      </c>
      <c r="D25" s="10" t="inlineStr">
        <is>
          <t>pm10_&lt;estación&gt;</t>
        </is>
      </c>
      <c r="E25" s="10" t="inlineStr">
        <is>
          <t>Material particulado PM10 promedio del año en cada estación (desglose [categoría, valor])</t>
        </is>
      </c>
      <c r="F25" s="10" t="inlineStr">
        <is>
          <t>Decimal</t>
        </is>
      </c>
      <c r="G25" s="10" t="inlineStr">
        <is>
          <t>µg/m3 (promedio móvil 24 h)</t>
        </is>
      </c>
      <c r="H25" s="10" t="inlineStr">
        <is>
          <t>["centenario", 21.05]</t>
        </is>
      </c>
      <c r="I25" s="10" t="inlineStr">
        <is>
          <t>No</t>
        </is>
      </c>
      <c r="J25" s="10" t="inlineStr">
        <is>
          <t>≥ 0</t>
        </is>
      </c>
      <c r="K25" s="10" t="inlineStr">
        <is>
          <t>Pública</t>
        </is>
      </c>
      <c r="L25" s="10" t="inlineStr">
        <is>
          <t>Coma decimal → punto; promedio sin vacíos</t>
        </is>
      </c>
      <c r="M25" s="10" t="inlineStr">
        <is>
          <t>P5 · ¿Qué hay construido, cuánto verde queda y cómo está el ambiente?</t>
        </is>
      </c>
    </row>
    <row r="26">
      <c r="A26" s="10" t="inlineStr">
        <is>
          <t>F30</t>
        </is>
      </c>
      <c r="B26" s="10" t="inlineStr">
        <is>
          <t>lago/catalogo.json · cifras</t>
        </is>
      </c>
      <c r="C26" s="10" t="inlineStr">
        <is>
          <t>conjuntos</t>
        </is>
      </c>
      <c r="D26" s="10" t="inlineStr">
        <is>
          <t>result.count</t>
        </is>
      </c>
      <c r="E26" s="10" t="inlineStr">
        <is>
          <t>Conjuntos de datos publicados en BA Data</t>
        </is>
      </c>
      <c r="F26" s="10" t="inlineStr">
        <is>
          <t>Entero</t>
        </is>
      </c>
      <c r="G26" s="10" t="inlineStr">
        <is>
          <t>conjuntos de datos</t>
        </is>
      </c>
      <c r="H26" s="10" t="inlineStr">
        <is>
          <t>455 (2026-10)</t>
        </is>
      </c>
      <c r="I26" s="10" t="inlineStr">
        <is>
          <t>No</t>
        </is>
      </c>
      <c r="J26" s="10" t="inlineStr">
        <is>
          <t>≥ 0</t>
        </is>
      </c>
      <c r="K26" s="10" t="inlineStr">
        <is>
          <t>Pública</t>
        </is>
      </c>
      <c r="L26" s="10" t="inlineStr">
        <is>
          <t>Se copia el total de package_search</t>
        </is>
      </c>
      <c r="M26" s="10" t="inlineStr">
        <is>
          <t>Fuentes y método · ¿de dónde sale cada cifra y qué tan confiable es?</t>
        </is>
      </c>
    </row>
    <row r="27">
      <c r="A27" s="10" t="inlineStr">
        <is>
          <t>F30</t>
        </is>
      </c>
      <c r="B27" s="10" t="inlineStr">
        <is>
          <t>lago/catalogo.json</t>
        </is>
      </c>
      <c r="C27" s="10" t="inlineStr">
        <is>
          <t>conjuntos</t>
        </is>
      </c>
      <c r="D27" s="10" t="inlineStr">
        <is>
          <t>metadatos del portal</t>
        </is>
      </c>
      <c r="E27" s="10" t="inlineStr">
        <is>
          <t>Inventario de conjuntos del portal: id, título, licencia, actualizado, formatos</t>
        </is>
      </c>
      <c r="F27" s="10" t="inlineStr">
        <is>
          <t>Texto</t>
        </is>
      </c>
      <c r="G27" s="10" t="inlineStr">
        <is>
          <t>—</t>
        </is>
      </c>
      <c r="H27" s="10" t="inlineStr">
        <is>
          <t>{'actualizado': '2026-10-02', 'formatos': ['CSV', 'XLSX'], 'id': 'subte-trenes-d</t>
        </is>
      </c>
      <c r="I27" s="10" t="inlineStr">
        <is>
          <t>No</t>
        </is>
      </c>
      <c r="J27" s="10" t="inlineStr">
        <is>
          <t>—</t>
        </is>
      </c>
      <c r="K27" s="10" t="inlineStr">
        <is>
          <t>Pública</t>
        </is>
      </c>
      <c r="L27" s="10" t="inlineStr">
        <is>
          <t>Se copian de package_search</t>
        </is>
      </c>
      <c r="M27" s="10" t="inlineStr">
        <is>
          <t>Fuentes y método · ¿de dónde sale cada cifra y qué tan confiable es?</t>
        </is>
      </c>
    </row>
    <row r="28">
      <c r="A28" s="10" t="inlineStr">
        <is>
          <t>F19</t>
        </is>
      </c>
      <c r="B28" s="10" t="inlineStr">
        <is>
          <t>lago/clima.json · cifras</t>
        </is>
      </c>
      <c r="C28" s="10" t="inlineStr">
        <is>
          <t>dias_32c_2025</t>
        </is>
      </c>
      <c r="D28" s="10" t="inlineStr">
        <is>
          <t>temperature_2m_max</t>
        </is>
      </c>
      <c r="E28" s="10" t="inlineStr">
        <is>
          <t>Días del año con máxima de 32 °C o más</t>
        </is>
      </c>
      <c r="F28" s="10" t="inlineStr">
        <is>
          <t>Decimal</t>
        </is>
      </c>
      <c r="G28" s="10" t="inlineStr">
        <is>
          <t>días con máxima ≥ 32 °C</t>
        </is>
      </c>
      <c r="H28" s="10" t="inlineStr">
        <is>
          <t>28 (2025)</t>
        </is>
      </c>
      <c r="I28" s="10" t="inlineStr">
        <is>
          <t>No</t>
        </is>
      </c>
      <c r="J28" s="10" t="inlineStr">
        <is>
          <t>−10 a 45</t>
        </is>
      </c>
      <c r="K28" s="10" t="inlineStr">
        <is>
          <t>Pública</t>
        </is>
      </c>
      <c r="L28" s="10" t="inlineStr">
        <is>
          <t>Conteo de días diarios ≥ 32</t>
        </is>
      </c>
      <c r="M28" s="10" t="inlineStr">
        <is>
          <t>P5 · ¿Qué hay construido, cuánto verde queda y cómo está el ambiente?</t>
        </is>
      </c>
    </row>
    <row r="29">
      <c r="A29" s="10" t="inlineStr">
        <is>
          <t>F19</t>
        </is>
      </c>
      <c r="B29" s="10" t="inlineStr">
        <is>
          <t>lago/clima.json · cifras</t>
        </is>
      </c>
      <c r="C29" s="10" t="inlineStr">
        <is>
          <t>maxima_2025</t>
        </is>
      </c>
      <c r="D29" s="10" t="inlineStr">
        <is>
          <t>temperature_2m_max</t>
        </is>
      </c>
      <c r="E29" s="10" t="inlineStr">
        <is>
          <t>Máxima diaria más alta del año</t>
        </is>
      </c>
      <c r="F29" s="10" t="inlineStr">
        <is>
          <t>Decimal</t>
        </is>
      </c>
      <c r="G29" s="10" t="inlineStr">
        <is>
          <t>°C (máxima diaria más alta del año)</t>
        </is>
      </c>
      <c r="H29" s="10" t="inlineStr">
        <is>
          <t>38.7 (2025)</t>
        </is>
      </c>
      <c r="I29" s="10" t="inlineStr">
        <is>
          <t>No</t>
        </is>
      </c>
      <c r="J29" s="10" t="inlineStr">
        <is>
          <t>−10 a 45</t>
        </is>
      </c>
      <c r="K29" s="10" t="inlineStr">
        <is>
          <t>Pública</t>
        </is>
      </c>
      <c r="L29" s="10" t="inlineStr">
        <is>
          <t>Máximo de la serie diaria</t>
        </is>
      </c>
      <c r="M29" s="10" t="inlineStr">
        <is>
          <t>P5 · ¿Qué hay construido, cuánto verde queda y cómo está el ambiente?</t>
        </is>
      </c>
    </row>
    <row r="30">
      <c r="A30" s="10" t="inlineStr">
        <is>
          <t>F19</t>
        </is>
      </c>
      <c r="B30" s="10" t="inlineStr">
        <is>
          <t>lago/clima.json · cifras</t>
        </is>
      </c>
      <c r="C30" s="10" t="inlineStr">
        <is>
          <t>precipitacion_2025</t>
        </is>
      </c>
      <c r="D30" s="10" t="inlineStr">
        <is>
          <t>precipitation_sum</t>
        </is>
      </c>
      <c r="E30" s="10" t="inlineStr">
        <is>
          <t>Lluvia total del año</t>
        </is>
      </c>
      <c r="F30" s="10" t="inlineStr">
        <is>
          <t>Entero</t>
        </is>
      </c>
      <c r="G30" s="10" t="inlineStr">
        <is>
          <t>mm (total anual)</t>
        </is>
      </c>
      <c r="H30" s="10" t="inlineStr">
        <is>
          <t>1233 (2025)</t>
        </is>
      </c>
      <c r="I30" s="10" t="inlineStr">
        <is>
          <t>No</t>
        </is>
      </c>
      <c r="J30" s="10" t="inlineStr">
        <is>
          <t>≥ 0</t>
        </is>
      </c>
      <c r="K30" s="10" t="inlineStr">
        <is>
          <t>Pública</t>
        </is>
      </c>
      <c r="L30" s="10" t="inlineStr">
        <is>
          <t>Suma de la serie diaria</t>
        </is>
      </c>
      <c r="M30" s="10" t="inlineStr">
        <is>
          <t>P5 · ¿Qué hay construido, cuánto verde queda y cómo está el ambiente?</t>
        </is>
      </c>
    </row>
    <row r="31">
      <c r="A31" s="10" t="inlineStr">
        <is>
          <t>F19</t>
        </is>
      </c>
      <c r="B31" s="10" t="inlineStr">
        <is>
          <t>lago/clima.json · cifras</t>
        </is>
      </c>
      <c r="C31" s="10" t="inlineStr">
        <is>
          <t>temperatura_media_2025</t>
        </is>
      </c>
      <c r="D31" s="10" t="inlineStr">
        <is>
          <t>temperature_2m_mean</t>
        </is>
      </c>
      <c r="E31" s="10" t="inlineStr">
        <is>
          <t>Temperatura media del año</t>
        </is>
      </c>
      <c r="F31" s="10" t="inlineStr">
        <is>
          <t>Decimal</t>
        </is>
      </c>
      <c r="G31" s="10" t="inlineStr">
        <is>
          <t>°C (media anual)</t>
        </is>
      </c>
      <c r="H31" s="10" t="inlineStr">
        <is>
          <t>18.4 (2025)</t>
        </is>
      </c>
      <c r="I31" s="10" t="inlineStr">
        <is>
          <t>No</t>
        </is>
      </c>
      <c r="J31" s="10" t="inlineStr">
        <is>
          <t>−10 a 45</t>
        </is>
      </c>
      <c r="K31" s="10" t="inlineStr">
        <is>
          <t>Pública</t>
        </is>
      </c>
      <c r="L31" s="10" t="inlineStr">
        <is>
          <t>Promedio de la serie diaria</t>
        </is>
      </c>
      <c r="M31" s="10" t="inlineStr">
        <is>
          <t>P5 · ¿Qué hay construido, cuánto verde queda y cómo está el ambiente?</t>
        </is>
      </c>
    </row>
    <row r="32">
      <c r="A32" s="10" t="inlineStr">
        <is>
          <t>F19</t>
        </is>
      </c>
      <c r="B32" s="10" t="inlineStr">
        <is>
          <t>lago/clima.json · series</t>
        </is>
      </c>
      <c r="C32" s="10" t="inlineStr">
        <is>
          <t>dias_32c_anual</t>
        </is>
      </c>
      <c r="D32" s="10" t="inlineStr">
        <is>
          <t>temperature_2m_max</t>
        </is>
      </c>
      <c r="E32" s="10" t="inlineStr">
        <is>
          <t>Días con máxima ≥ 32 °C, año por año (serie [periodo, valor])</t>
        </is>
      </c>
      <c r="F32" s="10" t="inlineStr">
        <is>
          <t>Decimal</t>
        </is>
      </c>
      <c r="G32" s="10" t="inlineStr">
        <is>
          <t>días con máxima ≥ 32 °C</t>
        </is>
      </c>
      <c r="H32" s="10" t="inlineStr">
        <is>
          <t>["2015", 5]</t>
        </is>
      </c>
      <c r="I32" s="10" t="inlineStr">
        <is>
          <t>No</t>
        </is>
      </c>
      <c r="J32" s="10" t="inlineStr">
        <is>
          <t>−10 a 45</t>
        </is>
      </c>
      <c r="K32" s="10" t="inlineStr">
        <is>
          <t>Pública</t>
        </is>
      </c>
      <c r="L32" s="10" t="inlineStr">
        <is>
          <t>Conteo por año</t>
        </is>
      </c>
      <c r="M32" s="10" t="inlineStr">
        <is>
          <t>P5 · ¿Qué hay construido, cuánto verde queda y cómo está el ambiente?</t>
        </is>
      </c>
    </row>
    <row r="33">
      <c r="A33" s="10" t="inlineStr">
        <is>
          <t>F19</t>
        </is>
      </c>
      <c r="B33" s="10" t="inlineStr">
        <is>
          <t>lago/clima.json · series</t>
        </is>
      </c>
      <c r="C33" s="10" t="inlineStr">
        <is>
          <t>precipitacion_anual</t>
        </is>
      </c>
      <c r="D33" s="10" t="inlineStr">
        <is>
          <t>precipitation_sum</t>
        </is>
      </c>
      <c r="E33" s="10" t="inlineStr">
        <is>
          <t>Lluvia total de cada año (serie [periodo, valor])</t>
        </is>
      </c>
      <c r="F33" s="10" t="inlineStr">
        <is>
          <t>Entero</t>
        </is>
      </c>
      <c r="G33" s="10" t="inlineStr">
        <is>
          <t>mm</t>
        </is>
      </c>
      <c r="H33" s="10" t="inlineStr">
        <is>
          <t>["2015", 698]</t>
        </is>
      </c>
      <c r="I33" s="10" t="inlineStr">
        <is>
          <t>No</t>
        </is>
      </c>
      <c r="J33" s="10" t="inlineStr">
        <is>
          <t>≥ 0</t>
        </is>
      </c>
      <c r="K33" s="10" t="inlineStr">
        <is>
          <t>Pública</t>
        </is>
      </c>
      <c r="L33" s="10" t="inlineStr">
        <is>
          <t>Suma por año</t>
        </is>
      </c>
      <c r="M33" s="10" t="inlineStr">
        <is>
          <t>P5 · ¿Qué hay construido, cuánto verde queda y cómo está el ambiente?</t>
        </is>
      </c>
    </row>
    <row r="34">
      <c r="A34" s="10" t="inlineStr">
        <is>
          <t>F19</t>
        </is>
      </c>
      <c r="B34" s="10" t="inlineStr">
        <is>
          <t>lago/clima.json · series</t>
        </is>
      </c>
      <c r="C34" s="10" t="inlineStr">
        <is>
          <t>precipitacion_mensual</t>
        </is>
      </c>
      <c r="D34" s="10" t="inlineStr">
        <is>
          <t>precipitation_sum</t>
        </is>
      </c>
      <c r="E34" s="10" t="inlineStr">
        <is>
          <t>Lluvia total de cada mes (serie [periodo, valor])</t>
        </is>
      </c>
      <c r="F34" s="10" t="inlineStr">
        <is>
          <t>Decimal</t>
        </is>
      </c>
      <c r="G34" s="10" t="inlineStr">
        <is>
          <t>mm</t>
        </is>
      </c>
      <c r="H34" s="10" t="inlineStr">
        <is>
          <t>["2015-01", 113.3]</t>
        </is>
      </c>
      <c r="I34" s="10" t="inlineStr">
        <is>
          <t>No</t>
        </is>
      </c>
      <c r="J34" s="10" t="inlineStr">
        <is>
          <t>≥ 0</t>
        </is>
      </c>
      <c r="K34" s="10" t="inlineStr">
        <is>
          <t>Pública</t>
        </is>
      </c>
      <c r="L34" s="10" t="inlineStr">
        <is>
          <t>Suma por mes, 1 decimal</t>
        </is>
      </c>
      <c r="M34" s="10" t="inlineStr">
        <is>
          <t>P5 · ¿Qué hay construido, cuánto verde queda y cómo está el ambiente?</t>
        </is>
      </c>
    </row>
    <row r="35">
      <c r="A35" s="10" t="inlineStr">
        <is>
          <t>F19</t>
        </is>
      </c>
      <c r="B35" s="10" t="inlineStr">
        <is>
          <t>lago/clima.json · series</t>
        </is>
      </c>
      <c r="C35" s="10" t="inlineStr">
        <is>
          <t>temperatura_media_anual</t>
        </is>
      </c>
      <c r="D35" s="10" t="inlineStr">
        <is>
          <t>temperature_2m_mean</t>
        </is>
      </c>
      <c r="E35" s="10" t="inlineStr">
        <is>
          <t>Temperatura media de cada año (serie [periodo, valor])</t>
        </is>
      </c>
      <c r="F35" s="10" t="inlineStr">
        <is>
          <t>Decimal</t>
        </is>
      </c>
      <c r="G35" s="10" t="inlineStr">
        <is>
          <t>°C</t>
        </is>
      </c>
      <c r="H35" s="10" t="inlineStr">
        <is>
          <t>["2015", 17.8]</t>
        </is>
      </c>
      <c r="I35" s="10" t="inlineStr">
        <is>
          <t>No</t>
        </is>
      </c>
      <c r="J35" s="10" t="inlineStr">
        <is>
          <t>−10 a 45</t>
        </is>
      </c>
      <c r="K35" s="10" t="inlineStr">
        <is>
          <t>Pública</t>
        </is>
      </c>
      <c r="L35" s="10" t="inlineStr">
        <is>
          <t>Promedio por año</t>
        </is>
      </c>
      <c r="M35" s="10" t="inlineStr">
        <is>
          <t>P5 · ¿Qué hay construido, cuánto verde queda y cómo está el ambiente?</t>
        </is>
      </c>
    </row>
    <row r="36">
      <c r="A36" s="10" t="inlineStr">
        <is>
          <t>F19</t>
        </is>
      </c>
      <c r="B36" s="10" t="inlineStr">
        <is>
          <t>lago/clima.json · series</t>
        </is>
      </c>
      <c r="C36" s="10" t="inlineStr">
        <is>
          <t>temperatura_media_mensual</t>
        </is>
      </c>
      <c r="D36" s="10" t="inlineStr">
        <is>
          <t>temperature_2m_mean</t>
        </is>
      </c>
      <c r="E36" s="10" t="inlineStr">
        <is>
          <t>Temperatura media de cada mes (serie [periodo, valor])</t>
        </is>
      </c>
      <c r="F36" s="10" t="inlineStr">
        <is>
          <t>Decimal</t>
        </is>
      </c>
      <c r="G36" s="10" t="inlineStr">
        <is>
          <t>°C</t>
        </is>
      </c>
      <c r="H36" s="10" t="inlineStr">
        <is>
          <t>["2015-01", 23.4]</t>
        </is>
      </c>
      <c r="I36" s="10" t="inlineStr">
        <is>
          <t>No</t>
        </is>
      </c>
      <c r="J36" s="10" t="inlineStr">
        <is>
          <t>−10 a 45</t>
        </is>
      </c>
      <c r="K36" s="10" t="inlineStr">
        <is>
          <t>Pública</t>
        </is>
      </c>
      <c r="L36" s="10" t="inlineStr">
        <is>
          <t>Promedio por mes, 1 decimal</t>
        </is>
      </c>
      <c r="M36" s="10" t="inlineStr">
        <is>
          <t>P5 · ¿Qué hay construido, cuánto verde queda y cómo está el ambiente?</t>
        </is>
      </c>
    </row>
    <row r="37">
      <c r="A37" s="10" t="inlineStr">
        <is>
          <t>F03</t>
        </is>
      </c>
      <c r="B37" s="10" t="inlineStr">
        <is>
          <t>lago/correlaciones.json · cifras</t>
        </is>
      </c>
      <c r="C37" s="10" t="inlineStr">
        <is>
          <t>barrios_comparados</t>
        </is>
      </c>
      <c r="D37" s="10" t="inlineStr">
        <is>
          <t>—</t>
        </is>
      </c>
      <c r="E37" s="10" t="inlineStr">
        <is>
          <t>Barrios con población y área para comparar</t>
        </is>
      </c>
      <c r="F37" s="10" t="inlineStr">
        <is>
          <t>Entero</t>
        </is>
      </c>
      <c r="G37" s="10" t="inlineStr">
        <is>
          <t>barrios con población y área</t>
        </is>
      </c>
      <c r="H37" s="10" t="inlineStr">
        <is>
          <t>48 (2024)</t>
        </is>
      </c>
      <c r="I37" s="10" t="inlineStr">
        <is>
          <t>No</t>
        </is>
      </c>
      <c r="J37" s="10" t="inlineStr">
        <is>
          <t>≥ 0</t>
        </is>
      </c>
      <c r="K37" s="10" t="inlineStr">
        <is>
          <t>Pública</t>
        </is>
      </c>
      <c r="L37" s="10" t="inlineStr">
        <is>
          <t>Intersección de barrios entre temas</t>
        </is>
      </c>
      <c r="M37" s="10" t="inlineStr">
        <is>
          <t>Cruza P1, P3, P5 y P6 · ¿qué barrios se parecen y en qué?</t>
        </is>
      </c>
    </row>
    <row r="38">
      <c r="A38" s="10" t="inlineStr">
        <is>
          <t>F03</t>
        </is>
      </c>
      <c r="B38" s="10" t="inlineStr">
        <is>
          <t>lago/correlaciones.json · cifras</t>
        </is>
      </c>
      <c r="C38" s="10" t="inlineStr">
        <is>
          <t>pares_fuertes</t>
        </is>
      </c>
      <c r="D38" s="10" t="inlineStr">
        <is>
          <t>—</t>
        </is>
      </c>
      <c r="E38" s="10" t="inlineStr">
        <is>
          <t>Pares de indicadores con asociación fuerte (|r| ≥ 0,5)</t>
        </is>
      </c>
      <c r="F38" s="10" t="inlineStr">
        <is>
          <t>Decimal</t>
        </is>
      </c>
      <c r="G38" s="10" t="inlineStr">
        <is>
          <t>pares de indicadores con |Spearman| ≥ 0,5</t>
        </is>
      </c>
      <c r="H38" s="10" t="inlineStr">
        <is>
          <t>10 (2024)</t>
        </is>
      </c>
      <c r="I38" s="10" t="inlineStr">
        <is>
          <t>No</t>
        </is>
      </c>
      <c r="J38" s="10" t="inlineStr">
        <is>
          <t>−1 a 1</t>
        </is>
      </c>
      <c r="K38" s="10" t="inlineStr">
        <is>
          <t>Pública</t>
        </is>
      </c>
      <c r="L38" s="10" t="inlineStr">
        <is>
          <t>Conteo sobre la matriz de Spearman</t>
        </is>
      </c>
      <c r="M38" s="10" t="inlineStr">
        <is>
          <t>Cruza P1, P3, P5 y P6 · ¿qué barrios se parecen y en qué?</t>
        </is>
      </c>
    </row>
    <row r="39">
      <c r="A39" s="10" t="inlineStr">
        <is>
          <t>F03</t>
        </is>
      </c>
      <c r="B39" s="10" t="inlineStr">
        <is>
          <t>lago/correlaciones.json · desgloses</t>
        </is>
      </c>
      <c r="C39" s="10" t="inlineStr">
        <is>
          <t>spearman</t>
        </is>
      </c>
      <c r="D39" s="10" t="inlineStr">
        <is>
          <t>—</t>
        </is>
      </c>
      <c r="E39" s="10" t="inlineStr">
        <is>
          <t>Correlación de rangos entre indicadores por barrio (asociación, no causa) (desglose [categoría, valor])</t>
        </is>
      </c>
      <c r="F39" s="10" t="inlineStr">
        <is>
          <t>Decimal</t>
        </is>
      </c>
      <c r="G39" s="10" t="inlineStr">
        <is>
          <t>coeficiente de Spearman (-1 a 1), n = barrios_comparados</t>
        </is>
      </c>
      <c r="H39" s="10" t="inlineStr">
        <is>
          <t>["delitos_2024 vs población", 0.842]</t>
        </is>
      </c>
      <c r="I39" s="10" t="inlineStr">
        <is>
          <t>No</t>
        </is>
      </c>
      <c r="J39" s="10" t="inlineStr">
        <is>
          <t>−1 a 1</t>
        </is>
      </c>
      <c r="K39" s="10" t="inlineStr">
        <is>
          <t>Pública</t>
        </is>
      </c>
      <c r="L39" s="10" t="inlineStr">
        <is>
          <t>Tasas por habitante y densidad; Spearman con rangos empatados</t>
        </is>
      </c>
      <c r="M39" s="10" t="inlineStr">
        <is>
          <t>Cruza P1, P3, P5 y P6 · ¿qué barrios se parecen y en qué?</t>
        </is>
      </c>
    </row>
    <row r="40">
      <c r="A40" s="10" t="inlineStr">
        <is>
          <t>F03</t>
        </is>
      </c>
      <c r="B40" s="10" t="inlineStr">
        <is>
          <t>lago/correlaciones.json · desgloses</t>
        </is>
      </c>
      <c r="C40" s="10" t="inlineStr">
        <is>
          <t>spearman_fuertes</t>
        </is>
      </c>
      <c r="D40" s="10" t="inlineStr">
        <is>
          <t>—</t>
        </is>
      </c>
      <c r="E40" s="10" t="inlineStr">
        <is>
          <t>Subconjunto de pares con |r| ≥ 0,5 (desglose [categoría, valor])</t>
        </is>
      </c>
      <c r="F40" s="10" t="inlineStr">
        <is>
          <t>Decimal</t>
        </is>
      </c>
      <c r="G40" s="10" t="inlineStr">
        <is>
          <t>coeficiente de Spearman (|r| ≥ 0,5)</t>
        </is>
      </c>
      <c r="H40" s="10" t="inlineStr">
        <is>
          <t>["altura mediana de parcela (m) vs % parcelas &gt; 30 m", 0.835]</t>
        </is>
      </c>
      <c r="I40" s="10" t="inlineStr">
        <is>
          <t>No</t>
        </is>
      </c>
      <c r="J40" s="10" t="inlineStr">
        <is>
          <t>−1 a 1</t>
        </is>
      </c>
      <c r="K40" s="10" t="inlineStr">
        <is>
          <t>Pública</t>
        </is>
      </c>
      <c r="L40" s="10" t="inlineStr">
        <is>
          <t>Filtro de la matriz</t>
        </is>
      </c>
      <c r="M40" s="10" t="inlineStr">
        <is>
          <t>Cruza P1, P3, P5 y P6 · ¿qué barrios se parecen y en qué?</t>
        </is>
      </c>
    </row>
    <row r="41">
      <c r="A41" s="10" t="inlineStr">
        <is>
          <t>F13</t>
        </is>
      </c>
      <c r="B41" s="10" t="inlineStr">
        <is>
          <t>lago/cultura.json · cifras</t>
        </is>
      </c>
      <c r="C41" s="10" t="inlineStr">
        <is>
          <t>registros</t>
        </is>
      </c>
      <c r="D41" s="10" t="inlineStr">
        <is>
          <t>fid</t>
        </is>
      </c>
      <c r="E41" s="10" t="inlineStr">
        <is>
          <t>Espacios culturales registrados</t>
        </is>
      </c>
      <c r="F41" s="10" t="inlineStr">
        <is>
          <t>Entero</t>
        </is>
      </c>
      <c r="G41" s="10" t="inlineStr">
        <is>
          <t>espacios culturales</t>
        </is>
      </c>
      <c r="H41" s="10" t="inlineStr">
        <is>
          <t>3053 (2026-06)</t>
        </is>
      </c>
      <c r="I41" s="10" t="inlineStr">
        <is>
          <t>No</t>
        </is>
      </c>
      <c r="J41" s="10" t="inlineStr">
        <is>
          <t>≥ 0</t>
        </is>
      </c>
      <c r="K41" s="10" t="inlineStr">
        <is>
          <t>Pública</t>
        </is>
      </c>
      <c r="L41" s="10" t="inlineStr">
        <is>
          <t>Conteo de filas (sin contactos)</t>
        </is>
      </c>
      <c r="M41" s="10" t="inlineStr">
        <is>
          <t>P1 · ¿Cuánta gente vive en cada barrio y qué servicios de salud, educación y cultura tiene cerca?</t>
        </is>
      </c>
    </row>
    <row r="42">
      <c r="A42" s="10" t="inlineStr">
        <is>
          <t>F13</t>
        </is>
      </c>
      <c r="B42" s="10" t="inlineStr">
        <is>
          <t>lago/cultura.json · desgloses</t>
        </is>
      </c>
      <c r="C42" s="10" t="inlineStr">
        <is>
          <t>por_barrio</t>
        </is>
      </c>
      <c r="D42" s="10" t="inlineStr">
        <is>
          <t>BARRIO</t>
        </is>
      </c>
      <c r="E42" s="10" t="inlineStr">
        <is>
          <t>Espacios culturales en cada barrio (desglose [categoría, valor])</t>
        </is>
      </c>
      <c r="F42" s="10" t="inlineStr">
        <is>
          <t>Entero</t>
        </is>
      </c>
      <c r="G42" s="10" t="inlineStr">
        <is>
          <t>espacios culturales</t>
        </is>
      </c>
      <c r="H42" s="10" t="inlineStr">
        <is>
          <t>["SAN NICOLAS", 369]</t>
        </is>
      </c>
      <c r="I42" s="10" t="inlineStr">
        <is>
          <t>No</t>
        </is>
      </c>
      <c r="J42" s="10" t="inlineStr">
        <is>
          <t>≥ 0</t>
        </is>
      </c>
      <c r="K42" s="10" t="inlineStr">
        <is>
          <t>Pública</t>
        </is>
      </c>
      <c r="L42" s="10" t="inlineStr">
        <is>
          <t>Mayúsculas; conteo</t>
        </is>
      </c>
      <c r="M42" s="10" t="inlineStr">
        <is>
          <t>P1 · ¿Cuánta gente vive en cada barrio y qué servicios de salud, educación y cultura tiene cerca?</t>
        </is>
      </c>
    </row>
    <row r="43">
      <c r="A43" s="10" t="inlineStr">
        <is>
          <t>F13</t>
        </is>
      </c>
      <c r="B43" s="10" t="inlineStr">
        <is>
          <t>lago/cultura.json · desgloses</t>
        </is>
      </c>
      <c r="C43" s="10" t="inlineStr">
        <is>
          <t>por_funcion_principal</t>
        </is>
      </c>
      <c r="D43" s="10" t="inlineStr">
        <is>
          <t>FUNCION_PRINCIPAL</t>
        </is>
      </c>
      <c r="E43" s="10" t="inlineStr">
        <is>
          <t>Espacios culturales por tipo (biblioteca, teatro…) (desglose [categoría, valor])</t>
        </is>
      </c>
      <c r="F43" s="10" t="inlineStr">
        <is>
          <t>Entero</t>
        </is>
      </c>
      <c r="G43" s="10" t="inlineStr">
        <is>
          <t>espacios culturales</t>
        </is>
      </c>
      <c r="H43" s="10" t="inlineStr">
        <is>
          <t>["BIBLIOTECA", 619]</t>
        </is>
      </c>
      <c r="I43" s="10" t="inlineStr">
        <is>
          <t>No</t>
        </is>
      </c>
      <c r="J43" s="10" t="inlineStr">
        <is>
          <t>≥ 0</t>
        </is>
      </c>
      <c r="K43" s="10" t="inlineStr">
        <is>
          <t>Pública</t>
        </is>
      </c>
      <c r="L43" s="10" t="inlineStr">
        <is>
          <t>Conteo</t>
        </is>
      </c>
      <c r="M43" s="10" t="inlineStr">
        <is>
          <t>P1 · ¿Cuánta gente vive en cada barrio y qué servicios de salud, educación y cultura tiene cerca?</t>
        </is>
      </c>
    </row>
    <row r="44">
      <c r="A44" s="10" t="inlineStr">
        <is>
          <t>F13</t>
        </is>
      </c>
      <c r="B44" s="10" t="inlineStr">
        <is>
          <t>lago/cultura.json</t>
        </is>
      </c>
      <c r="C44" s="10" t="inlineStr">
        <is>
          <t>campos</t>
        </is>
      </c>
      <c r="D44" s="10" t="inlineStr">
        <is>
          <t>metadatos del portal</t>
        </is>
      </c>
      <c r="E44" s="10" t="inlineStr">
        <is>
          <t>Nombres de columnas del crudo, para trazabilidad</t>
        </is>
      </c>
      <c r="F44" s="10" t="inlineStr">
        <is>
          <t>Texto</t>
        </is>
      </c>
      <c r="G44" s="10" t="inlineStr">
        <is>
          <t>—</t>
        </is>
      </c>
      <c r="H44" s="10" t="inlineStr">
        <is>
          <t>fid</t>
        </is>
      </c>
      <c r="I44" s="10" t="inlineStr">
        <is>
          <t>No</t>
        </is>
      </c>
      <c r="J44" s="10" t="inlineStr">
        <is>
          <t>—</t>
        </is>
      </c>
      <c r="K44" s="10" t="inlineStr">
        <is>
          <t>Pública</t>
        </is>
      </c>
      <c r="L44" s="10" t="inlineStr">
        <is>
          <t>Se copian de la cabecera</t>
        </is>
      </c>
      <c r="M44" s="10" t="inlineStr">
        <is>
          <t>Fuentes y método · ¿de dónde sale cada cifra y qué tan confiable es?</t>
        </is>
      </c>
    </row>
    <row r="45">
      <c r="A45" s="10" t="inlineStr">
        <is>
          <t>F13</t>
        </is>
      </c>
      <c r="B45" s="10" t="inlineStr">
        <is>
          <t>lago/cultura.json</t>
        </is>
      </c>
      <c r="C45" s="10" t="inlineStr">
        <is>
          <t>recurso</t>
        </is>
      </c>
      <c r="D45" s="10" t="inlineStr">
        <is>
          <t>metadatos del portal</t>
        </is>
      </c>
      <c r="E45" s="10" t="inlineStr">
        <is>
          <t>Nombre, URL y formato del recurso descargado</t>
        </is>
      </c>
      <c r="F45" s="10" t="inlineStr">
        <is>
          <t>Texto</t>
        </is>
      </c>
      <c r="G45" s="10" t="inlineStr">
        <is>
          <t>—</t>
        </is>
      </c>
      <c r="H45" s="10" t="inlineStr">
        <is>
          <t>{'formato': 'CSV', 'nombre': 'Espacios culturales (CSV)', 'url': 'https://cdn.bu</t>
        </is>
      </c>
      <c r="I45" s="10" t="inlineStr">
        <is>
          <t>No</t>
        </is>
      </c>
      <c r="J45" s="10" t="inlineStr">
        <is>
          <t>—</t>
        </is>
      </c>
      <c r="K45" s="10" t="inlineStr">
        <is>
          <t>Pública</t>
        </is>
      </c>
      <c r="L45" s="10" t="inlineStr">
        <is>
          <t>Se copian del portal</t>
        </is>
      </c>
      <c r="M45" s="10" t="inlineStr">
        <is>
          <t>Fuentes y método · ¿de dónde sale cada cifra y qué tan confiable es?</t>
        </is>
      </c>
    </row>
    <row r="46">
      <c r="A46" s="10" t="inlineStr">
        <is>
          <t>F03</t>
        </is>
      </c>
      <c r="B46" s="10" t="inlineStr">
        <is>
          <t>lago/demografia.json · cifras</t>
        </is>
      </c>
      <c r="C46" s="10" t="inlineStr">
        <is>
          <t>poblacion_barrios</t>
        </is>
      </c>
      <c r="D46" s="10" t="inlineStr">
        <is>
          <t>POBLACION</t>
        </is>
      </c>
      <c r="E46" s="10" t="inlineStr">
        <is>
          <t>Habitantes de la Ciudad sumando los barrios (Censo 2010)</t>
        </is>
      </c>
      <c r="F46" s="10" t="inlineStr">
        <is>
          <t>Entero</t>
        </is>
      </c>
      <c r="G46" s="10" t="inlineStr">
        <is>
          <t>habitantes (Censo 2010, suma de barrios)</t>
        </is>
      </c>
      <c r="H46" s="10" t="inlineStr">
        <is>
          <t>2890151 (2010)</t>
        </is>
      </c>
      <c r="I46" s="10" t="inlineStr">
        <is>
          <t>No</t>
        </is>
      </c>
      <c r="J46" s="10" t="inlineStr">
        <is>
          <t>≥ 0</t>
        </is>
      </c>
      <c r="K46" s="10" t="inlineStr">
        <is>
          <t>Pública</t>
        </is>
      </c>
      <c r="L46" s="10" t="inlineStr">
        <is>
          <t>Suma de barrios</t>
        </is>
      </c>
      <c r="M46" s="10" t="inlineStr">
        <is>
          <t>P1 · ¿Cuánta gente vive en cada barrio y qué servicios de salud, educación y cultura tiene cerca?</t>
        </is>
      </c>
    </row>
    <row r="47">
      <c r="A47" s="10" t="inlineStr">
        <is>
          <t>F04</t>
        </is>
      </c>
      <c r="B47" s="10" t="inlineStr">
        <is>
          <t>lago/demografia.json · cifras</t>
        </is>
      </c>
      <c r="C47" s="10" t="inlineStr">
        <is>
          <t>poblacion_comunas</t>
        </is>
      </c>
      <c r="D47" s="10" t="inlineStr">
        <is>
          <t>Anexo 1, cuadro C.1 (PDF)</t>
        </is>
      </c>
      <c r="E47" s="10" t="inlineStr">
        <is>
          <t>Habitantes de la Ciudad sumando las comunas (Censo 2022)</t>
        </is>
      </c>
      <c r="F47" s="10" t="inlineStr">
        <is>
          <t>Entero</t>
        </is>
      </c>
      <c r="G47" s="10" t="inlineStr">
        <is>
          <t>habitantes (Censo 2022 definitivo, suma de comunas)</t>
        </is>
      </c>
      <c r="H47" s="10" t="inlineStr">
        <is>
          <t>3121707 (2022)</t>
        </is>
      </c>
      <c r="I47" s="10" t="inlineStr">
        <is>
          <t>No</t>
        </is>
      </c>
      <c r="J47" s="10" t="inlineStr">
        <is>
          <t>≥ 0</t>
        </is>
      </c>
      <c r="K47" s="10" t="inlineStr">
        <is>
          <t>Pública</t>
        </is>
      </c>
      <c r="L47" s="10" t="inlineStr">
        <is>
          <t>Transcrito del PDF; la suma se compara con el total publicado</t>
        </is>
      </c>
      <c r="M47" s="10" t="inlineStr">
        <is>
          <t>P1 · ¿Cuánta gente vive en cada barrio y qué servicios de salud, educación y cultura tiene cerca?</t>
        </is>
      </c>
    </row>
    <row r="48">
      <c r="A48" s="10" t="inlineStr">
        <is>
          <t>F03</t>
        </is>
      </c>
      <c r="B48" s="10" t="inlineStr">
        <is>
          <t>lago/demografia.json · desgloses</t>
        </is>
      </c>
      <c r="C48" s="10" t="inlineStr">
        <is>
          <t>poblacion_por_barrio</t>
        </is>
      </c>
      <c r="D48" s="10" t="inlineStr">
        <is>
          <t>BARRIO, POBLACION</t>
        </is>
      </c>
      <c r="E48" s="10" t="inlineStr">
        <is>
          <t>Habitantes de cada barrio en el Censo 2010 (desglose [categoría, valor])</t>
        </is>
      </c>
      <c r="F48" s="10" t="inlineStr">
        <is>
          <t>Entero</t>
        </is>
      </c>
      <c r="G48" s="10" t="inlineStr">
        <is>
          <t>habitantes (Censo 2010)</t>
        </is>
      </c>
      <c r="H48" s="10" t="inlineStr">
        <is>
          <t>["AGRONOMIA", 13912]</t>
        </is>
      </c>
      <c r="I48" s="10" t="inlineStr">
        <is>
          <t>No</t>
        </is>
      </c>
      <c r="J48" s="10" t="inlineStr">
        <is>
          <t>≥ 0</t>
        </is>
      </c>
      <c r="K48" s="10" t="inlineStr">
        <is>
          <t>Pública</t>
        </is>
      </c>
      <c r="L48" s="10" t="inlineStr">
        <is>
          <t>Se copia; nombres en mayúsculas</t>
        </is>
      </c>
      <c r="M48" s="10" t="inlineStr">
        <is>
          <t>P1 · ¿Cuánta gente vive en cada barrio y qué servicios de salud, educación y cultura tiene cerca?</t>
        </is>
      </c>
    </row>
    <row r="49">
      <c r="A49" s="10" t="inlineStr">
        <is>
          <t>F04</t>
        </is>
      </c>
      <c r="B49" s="10" t="inlineStr">
        <is>
          <t>lago/demografia.json · desgloses</t>
        </is>
      </c>
      <c r="C49" s="10" t="inlineStr">
        <is>
          <t>poblacion_por_comuna</t>
        </is>
      </c>
      <c r="D49" s="10" t="inlineStr">
        <is>
          <t>Anexo 1, cuadro C.1 (PDF)</t>
        </is>
      </c>
      <c r="E49" s="10" t="inlineStr">
        <is>
          <t>Habitantes de cada comuna en el Censo 2022 (desglose [categoría, valor])</t>
        </is>
      </c>
      <c r="F49" s="10" t="inlineStr">
        <is>
          <t>Entero</t>
        </is>
      </c>
      <c r="G49" s="10" t="inlineStr">
        <is>
          <t>habitantes (Censo 2022 definitivo)</t>
        </is>
      </c>
      <c r="H49" s="10" t="inlineStr">
        <is>
          <t>["Comuna 1", 223554]</t>
        </is>
      </c>
      <c r="I49" s="10" t="inlineStr">
        <is>
          <t>No</t>
        </is>
      </c>
      <c r="J49" s="10" t="inlineStr">
        <is>
          <t>≥ 0</t>
        </is>
      </c>
      <c r="K49" s="10" t="inlineStr">
        <is>
          <t>Pública</t>
        </is>
      </c>
      <c r="L49" s="10" t="inlineStr">
        <is>
          <t>Transcrito del PDF a ingesta/datos/censo2022_comunas.csv; la suma = total oficial</t>
        </is>
      </c>
      <c r="M49" s="10" t="inlineStr">
        <is>
          <t>P1 · ¿Cuánta gente vive en cada barrio y qué servicios de salud, educación y cultura tiene cerca?</t>
        </is>
      </c>
    </row>
    <row r="50">
      <c r="A50" s="10" t="inlineStr">
        <is>
          <t>F09</t>
        </is>
      </c>
      <c r="B50" s="10" t="inlineStr">
        <is>
          <t>lago/economia.json · cifras</t>
        </is>
      </c>
      <c r="C50" s="10" t="inlineStr">
        <is>
          <t>asalariados_privados_ultimo_mes</t>
        </is>
      </c>
      <c r="D50" s="10" t="inlineStr">
        <is>
          <t>serie 154.2_CABA_S_0_0_4</t>
        </is>
      </c>
      <c r="E50" s="10" t="inlineStr">
        <is>
          <t>Empleos privados registrados en CABA el último mes</t>
        </is>
      </c>
      <c r="F50" s="10" t="inlineStr">
        <is>
          <t>Entero</t>
        </is>
      </c>
      <c r="G50" s="10" t="inlineStr">
        <is>
          <t>asalariados registrados del sector privado (sin estacionalidad)</t>
        </is>
      </c>
      <c r="H50" s="10" t="inlineStr">
        <is>
          <t>1485000 (2026-06)</t>
        </is>
      </c>
      <c r="I50" s="10" t="inlineStr">
        <is>
          <t>No</t>
        </is>
      </c>
      <c r="J50" s="10" t="inlineStr">
        <is>
          <t>≥ 0</t>
        </is>
      </c>
      <c r="K50" s="10" t="inlineStr">
        <is>
          <t>Pública</t>
        </is>
      </c>
      <c r="L50" s="10" t="inlineStr">
        <is>
          <t>Miles × 1000</t>
        </is>
      </c>
      <c r="M50" s="10" t="inlineStr">
        <is>
          <t>P4 · ¿Cuánto pesan el turismo, el empleo y los precios?</t>
        </is>
      </c>
    </row>
    <row r="51">
      <c r="A51" s="10" t="inlineStr">
        <is>
          <t>F08</t>
        </is>
      </c>
      <c r="B51" s="10" t="inlineStr">
        <is>
          <t>lago/economia.json · cifras</t>
        </is>
      </c>
      <c r="C51" s="10" t="inlineStr">
        <is>
          <t>inflacion_2025</t>
        </is>
      </c>
      <c r="D51" s="10" t="inlineStr">
        <is>
          <t>serie 193.2_NIVEL_GENERAL_2021_0_13_2</t>
        </is>
      </c>
      <c r="E51" s="10" t="inlineStr">
        <is>
          <t>Inflación de la Ciudad diciembre a diciembre</t>
        </is>
      </c>
      <c r="F51" s="10" t="inlineStr">
        <is>
          <t>Decimal</t>
        </is>
      </c>
      <c r="G51" s="10" t="inlineStr">
        <is>
          <t>% de variación del IPCBA diciembre a diciembre</t>
        </is>
      </c>
      <c r="H51" s="10" t="inlineStr">
        <is>
          <t>31.8 (2025)</t>
        </is>
      </c>
      <c r="I51" s="10" t="inlineStr">
        <is>
          <t>No</t>
        </is>
      </c>
      <c r="J51" s="10" t="inlineStr">
        <is>
          <t>0 a 100</t>
        </is>
      </c>
      <c r="K51" s="10" t="inlineStr">
        <is>
          <t>Pública</t>
        </is>
      </c>
      <c r="L51" s="10" t="inlineStr">
        <is>
          <t>(IPC dic / IPC dic año anterior − 1) × 100</t>
        </is>
      </c>
      <c r="M51" s="10" t="inlineStr">
        <is>
          <t>P4 · ¿Cuánto pesan el turismo, el empleo y los precios?</t>
        </is>
      </c>
    </row>
    <row r="52">
      <c r="A52" s="10" t="inlineStr">
        <is>
          <t>F08</t>
        </is>
      </c>
      <c r="B52" s="10" t="inlineStr">
        <is>
          <t>lago/economia.json · cifras</t>
        </is>
      </c>
      <c r="C52" s="10" t="inlineStr">
        <is>
          <t>inflacion_interanual</t>
        </is>
      </c>
      <c r="D52" s="10" t="inlineStr">
        <is>
          <t>serie 193.2_NIVEL_GENERAL_2021_0_13_2</t>
        </is>
      </c>
      <c r="E52" s="10" t="inlineStr">
        <is>
          <t>Inflación de los últimos 12 meses</t>
        </is>
      </c>
      <c r="F52" s="10" t="inlineStr">
        <is>
          <t>Decimal</t>
        </is>
      </c>
      <c r="G52" s="10" t="inlineStr">
        <is>
          <t>% de variación del IPCBA 2025-08 → 2026-08</t>
        </is>
      </c>
      <c r="H52" s="10" t="inlineStr">
        <is>
          <t>33.3 (2026-08)</t>
        </is>
      </c>
      <c r="I52" s="10" t="inlineStr">
        <is>
          <t>No</t>
        </is>
      </c>
      <c r="J52" s="10" t="inlineStr">
        <is>
          <t>0 a 100</t>
        </is>
      </c>
      <c r="K52" s="10" t="inlineStr">
        <is>
          <t>Pública</t>
        </is>
      </c>
      <c r="L52" s="10" t="inlineStr">
        <is>
          <t>(IPC último / IPC hace 12 meses − 1) × 100</t>
        </is>
      </c>
      <c r="M52" s="10" t="inlineStr">
        <is>
          <t>P4 · ¿Cuánto pesan el turismo, el empleo y los precios?</t>
        </is>
      </c>
    </row>
    <row r="53">
      <c r="A53" s="10" t="inlineStr">
        <is>
          <t>F08</t>
        </is>
      </c>
      <c r="B53" s="10" t="inlineStr">
        <is>
          <t>lago/economia.json · cifras</t>
        </is>
      </c>
      <c r="C53" s="10" t="inlineStr">
        <is>
          <t>ipcba_promedio_2025</t>
        </is>
      </c>
      <c r="D53" s="10" t="inlineStr">
        <is>
          <t>serie 193.2_NIVEL_GENERAL_2021_0_13_2</t>
        </is>
      </c>
      <c r="E53" s="10" t="inlineStr">
        <is>
          <t>Índice de precios promedio del año (para deflactar)</t>
        </is>
      </c>
      <c r="F53" s="10" t="inlineStr">
        <is>
          <t>Decimal</t>
        </is>
      </c>
      <c r="G53" s="10" t="inlineStr">
        <is>
          <t>índice IPCBA promedio del año</t>
        </is>
      </c>
      <c r="H53" s="10" t="inlineStr">
        <is>
          <t>1896.37 (2025)</t>
        </is>
      </c>
      <c r="I53" s="10" t="inlineStr">
        <is>
          <t>No</t>
        </is>
      </c>
      <c r="J53" s="10" t="inlineStr">
        <is>
          <t>≥ 0</t>
        </is>
      </c>
      <c r="K53" s="10" t="inlineStr">
        <is>
          <t>Pública</t>
        </is>
      </c>
      <c r="L53" s="10" t="inlineStr">
        <is>
          <t>Promedio de 12 meses</t>
        </is>
      </c>
      <c r="M53" s="10" t="inlineStr">
        <is>
          <t>P4 · ¿Cuánto pesan el turismo, el empleo y los precios?</t>
        </is>
      </c>
    </row>
    <row r="54">
      <c r="A54" s="10" t="inlineStr">
        <is>
          <t>F08</t>
        </is>
      </c>
      <c r="B54" s="10" t="inlineStr">
        <is>
          <t>lago/economia.json · cifras</t>
        </is>
      </c>
      <c r="C54" s="10" t="inlineStr">
        <is>
          <t>ipcba_ultimo_mes</t>
        </is>
      </c>
      <c r="D54" s="10" t="inlineStr">
        <is>
          <t>serie 193.2_NIVEL_GENERAL_2021_0_13_2</t>
        </is>
      </c>
      <c r="E54" s="10" t="inlineStr">
        <is>
          <t>Índice de precios de la Ciudad del último mes</t>
        </is>
      </c>
      <c r="F54" s="10" t="inlineStr">
        <is>
          <t>Decimal</t>
        </is>
      </c>
      <c r="G54" s="10" t="inlineStr">
        <is>
          <t>índice IPCBA nivel general</t>
        </is>
      </c>
      <c r="H54" s="10" t="inlineStr">
        <is>
          <t>2596.6 (2026-08)</t>
        </is>
      </c>
      <c r="I54" s="10" t="inlineStr">
        <is>
          <t>No</t>
        </is>
      </c>
      <c r="J54" s="10" t="inlineStr">
        <is>
          <t>≥ 0</t>
        </is>
      </c>
      <c r="K54" s="10" t="inlineStr">
        <is>
          <t>Pública</t>
        </is>
      </c>
      <c r="L54" s="10" t="inlineStr">
        <is>
          <t>Se copia</t>
        </is>
      </c>
      <c r="M54" s="10" t="inlineStr">
        <is>
          <t>P4 · ¿Cuánto pesan el turismo, el empleo y los precios?</t>
        </is>
      </c>
    </row>
    <row r="55">
      <c r="A55" s="10" t="inlineStr">
        <is>
          <t>F09</t>
        </is>
      </c>
      <c r="B55" s="10" t="inlineStr">
        <is>
          <t>lago/economia.json · series</t>
        </is>
      </c>
      <c r="C55" s="10" t="inlineStr">
        <is>
          <t>asalariados_privados</t>
        </is>
      </c>
      <c r="D55" s="10" t="inlineStr">
        <is>
          <t>serie 154.2_CABA_S_0_0_4</t>
        </is>
      </c>
      <c r="E55" s="10" t="inlineStr">
        <is>
          <t>Empleo privado registrado mes a mes (serie [periodo, valor])</t>
        </is>
      </c>
      <c r="F55" s="10" t="inlineStr">
        <is>
          <t>Decimal</t>
        </is>
      </c>
      <c r="G55" s="10" t="inlineStr">
        <is>
          <t>miles de asalariados registrados del sector privado (sin estacionalidad)</t>
        </is>
      </c>
      <c r="H55" s="10" t="inlineStr">
        <is>
          <t>["2018-01", 1555.052]</t>
        </is>
      </c>
      <c r="I55" s="10" t="inlineStr">
        <is>
          <t>No</t>
        </is>
      </c>
      <c r="J55" s="10" t="inlineStr">
        <is>
          <t>≥ 0</t>
        </is>
      </c>
      <c r="K55" s="10" t="inlineStr">
        <is>
          <t>Pública</t>
        </is>
      </c>
      <c r="L55" s="10" t="inlineStr">
        <is>
          <t>Fecha AAAA-MM-DD → AAAA-MM</t>
        </is>
      </c>
      <c r="M55" s="10" t="inlineStr">
        <is>
          <t>P4 · ¿Cuánto pesan el turismo, el empleo y los precios?</t>
        </is>
      </c>
    </row>
    <row r="56">
      <c r="A56" s="10" t="inlineStr">
        <is>
          <t>F08</t>
        </is>
      </c>
      <c r="B56" s="10" t="inlineStr">
        <is>
          <t>lago/economia.json · series</t>
        </is>
      </c>
      <c r="C56" s="10" t="inlineStr">
        <is>
          <t>ipcba</t>
        </is>
      </c>
      <c r="D56" s="10" t="inlineStr">
        <is>
          <t>serie 193.2_NIVEL_GENERAL_2021_0_13_2</t>
        </is>
      </c>
      <c r="E56" s="10" t="inlineStr">
        <is>
          <t>Índice de precios de la Ciudad mes a mes (serie [periodo, valor])</t>
        </is>
      </c>
      <c r="F56" s="10" t="inlineStr">
        <is>
          <t>Decimal</t>
        </is>
      </c>
      <c r="G56" s="10" t="inlineStr">
        <is>
          <t>índice IPCBA nivel general</t>
        </is>
      </c>
      <c r="H56" s="10" t="inlineStr">
        <is>
          <t>["2022-02", 128.59]</t>
        </is>
      </c>
      <c r="I56" s="10" t="inlineStr">
        <is>
          <t>No</t>
        </is>
      </c>
      <c r="J56" s="10" t="inlineStr">
        <is>
          <t>≥ 0</t>
        </is>
      </c>
      <c r="K56" s="10" t="inlineStr">
        <is>
          <t>Pública</t>
        </is>
      </c>
      <c r="L56" s="10" t="inlineStr">
        <is>
          <t>Fecha AAAA-MM-DD → AAAA-MM</t>
        </is>
      </c>
      <c r="M56" s="10" t="inlineStr">
        <is>
          <t>P4 · ¿Cuánto pesan el turismo, el empleo y los precios?</t>
        </is>
      </c>
    </row>
    <row r="57">
      <c r="A57" s="10" t="inlineStr">
        <is>
          <t>F15</t>
        </is>
      </c>
      <c r="B57" s="10" t="inlineStr">
        <is>
          <t>lago/edificios.json · cifras</t>
        </is>
      </c>
      <c r="C57" s="10" t="inlineStr">
        <is>
          <t>altura_maxima</t>
        </is>
      </c>
      <c r="D57" s="10" t="inlineStr">
        <is>
          <t>altura</t>
        </is>
      </c>
      <c r="E57" s="10" t="inlineStr">
        <is>
          <t>Altura del volumen edificado más alto</t>
        </is>
      </c>
      <c r="F57" s="10" t="inlineStr">
        <is>
          <t>Decimal</t>
        </is>
      </c>
      <c r="G57" s="10" t="inlineStr">
        <is>
          <t>m (volumen más alto del tejido)</t>
        </is>
      </c>
      <c r="H57" s="10" t="inlineStr">
        <is>
          <t>221.4 (2021)</t>
        </is>
      </c>
      <c r="I57" s="10" t="inlineStr">
        <is>
          <t>No</t>
        </is>
      </c>
      <c r="J57" s="10" t="inlineStr">
        <is>
          <t>≥ 0</t>
        </is>
      </c>
      <c r="K57" s="10" t="inlineStr">
        <is>
          <t>Pública</t>
        </is>
      </c>
      <c r="L57" s="10" t="inlineStr">
        <is>
          <t>Máximo, sin alturas &gt; 250 m</t>
        </is>
      </c>
      <c r="M57" s="10" t="inlineStr">
        <is>
          <t>P5 · ¿Qué hay construido, cuánto verde queda y cómo está el ambiente?</t>
        </is>
      </c>
    </row>
    <row r="58">
      <c r="A58" s="10" t="inlineStr">
        <is>
          <t>F15</t>
        </is>
      </c>
      <c r="B58" s="10" t="inlineStr">
        <is>
          <t>lago/edificios.json · cifras</t>
        </is>
      </c>
      <c r="C58" s="10" t="inlineStr">
        <is>
          <t>altura_mediana_parcela</t>
        </is>
      </c>
      <c r="D58" s="10" t="inlineStr">
        <is>
          <t>altura</t>
        </is>
      </c>
      <c r="E58" s="10" t="inlineStr">
        <is>
          <t>Altura típica de una parcela de la Ciudad</t>
        </is>
      </c>
      <c r="F58" s="10" t="inlineStr">
        <is>
          <t>Decimal</t>
        </is>
      </c>
      <c r="G58" s="10" t="inlineStr">
        <is>
          <t>m (mediana de la altura máxima por parcela)</t>
        </is>
      </c>
      <c r="H58" s="10" t="inlineStr">
        <is>
          <t>5.6 (2021)</t>
        </is>
      </c>
      <c r="I58" s="10" t="inlineStr">
        <is>
          <t>No</t>
        </is>
      </c>
      <c r="J58" s="10" t="inlineStr">
        <is>
          <t>≥ 0</t>
        </is>
      </c>
      <c r="K58" s="10" t="inlineStr">
        <is>
          <t>Pública</t>
        </is>
      </c>
      <c r="L58" s="10" t="inlineStr">
        <is>
          <t>Máximo por parcela, luego mediana</t>
        </is>
      </c>
      <c r="M58" s="10" t="inlineStr">
        <is>
          <t>P5 · ¿Qué hay construido, cuánto verde queda y cómo está el ambiente?</t>
        </is>
      </c>
    </row>
    <row r="59">
      <c r="A59" s="10" t="inlineStr">
        <is>
          <t>F16</t>
        </is>
      </c>
      <c r="B59" s="10" t="inlineStr">
        <is>
          <t>lago/edificios.json · cifras</t>
        </is>
      </c>
      <c r="C59" s="10" t="inlineStr">
        <is>
          <t>parcelas_cruzadas_con_barrio</t>
        </is>
      </c>
      <c r="D59" s="10" t="inlineStr">
        <is>
          <t>smp, barrio</t>
        </is>
      </c>
      <c r="E59" s="10" t="inlineStr">
        <is>
          <t>Parcelas edificadas a las que se les encontró barrio</t>
        </is>
      </c>
      <c r="F59" s="10" t="inlineStr">
        <is>
          <t>Entero</t>
        </is>
      </c>
      <c r="G59" s="10" t="inlineStr">
        <is>
          <t>parcelas edificadas con barrio (por parcela o por manzana)</t>
        </is>
      </c>
      <c r="H59" s="10" t="inlineStr">
        <is>
          <t>308340 (2021)</t>
        </is>
      </c>
      <c r="I59" s="10" t="inlineStr">
        <is>
          <t>No</t>
        </is>
      </c>
      <c r="J59" s="10" t="inlineStr">
        <is>
          <t>≥ 0</t>
        </is>
      </c>
      <c r="K59" s="10" t="inlineStr">
        <is>
          <t>Pública</t>
        </is>
      </c>
      <c r="L59" s="10" t="inlineStr">
        <is>
          <t>Cruce por smp normalizado; si falta, por manzana</t>
        </is>
      </c>
      <c r="M59" s="10" t="inlineStr">
        <is>
          <t>P5 · ¿Qué hay construido, cuánto verde queda y cómo está el ambiente?</t>
        </is>
      </c>
    </row>
    <row r="60">
      <c r="A60" s="10" t="inlineStr">
        <is>
          <t>F15</t>
        </is>
      </c>
      <c r="B60" s="10" t="inlineStr">
        <is>
          <t>lago/edificios.json · cifras</t>
        </is>
      </c>
      <c r="C60" s="10" t="inlineStr">
        <is>
          <t>parcelas_edificadas</t>
        </is>
      </c>
      <c r="D60" s="10" t="inlineStr">
        <is>
          <t>smp</t>
        </is>
      </c>
      <c r="E60" s="10" t="inlineStr">
        <is>
          <t>Parcelas con al menos un volumen edificado</t>
        </is>
      </c>
      <c r="F60" s="10" t="inlineStr">
        <is>
          <t>Entero</t>
        </is>
      </c>
      <c r="G60" s="10" t="inlineStr">
        <is>
          <t>parcelas edificadas</t>
        </is>
      </c>
      <c r="H60" s="10" t="inlineStr">
        <is>
          <t>309164 (2021)</t>
        </is>
      </c>
      <c r="I60" s="10" t="inlineStr">
        <is>
          <t>No</t>
        </is>
      </c>
      <c r="J60" s="10" t="inlineStr">
        <is>
          <t>≥ 0</t>
        </is>
      </c>
      <c r="K60" s="10" t="inlineStr">
        <is>
          <t>Pública</t>
        </is>
      </c>
      <c r="L60" s="10" t="inlineStr">
        <is>
          <t>smp sin ceros a la izquierda; Ñ reparada</t>
        </is>
      </c>
      <c r="M60" s="10" t="inlineStr">
        <is>
          <t>P5 · ¿Qué hay construido, cuánto verde queda y cómo está el ambiente?</t>
        </is>
      </c>
    </row>
    <row r="61">
      <c r="A61" s="10" t="inlineStr">
        <is>
          <t>F14</t>
        </is>
      </c>
      <c r="B61" s="10" t="inlineStr">
        <is>
          <t>lago/edificios.json · cifras</t>
        </is>
      </c>
      <c r="C61" s="10" t="inlineStr">
        <is>
          <t>registros</t>
        </is>
      </c>
      <c r="D61" s="10" t="inlineStr">
        <is>
          <t>id_registr</t>
        </is>
      </c>
      <c r="E61" s="10" t="inlineStr">
        <is>
          <t>Permisos de obra registrados</t>
        </is>
      </c>
      <c r="F61" s="10" t="inlineStr">
        <is>
          <t>Entero</t>
        </is>
      </c>
      <c r="G61" s="10" t="inlineStr">
        <is>
          <t>obras registradas</t>
        </is>
      </c>
      <c r="H61" s="10" t="inlineStr">
        <is>
          <t>87784 (2026-09)</t>
        </is>
      </c>
      <c r="I61" s="10" t="inlineStr">
        <is>
          <t>No</t>
        </is>
      </c>
      <c r="J61" s="10" t="inlineStr">
        <is>
          <t>≥ 0</t>
        </is>
      </c>
      <c r="K61" s="10" t="inlineStr">
        <is>
          <t>Pública</t>
        </is>
      </c>
      <c r="L61" s="10" t="inlineStr">
        <is>
          <t>Conteo de filas</t>
        </is>
      </c>
      <c r="M61" s="10" t="inlineStr">
        <is>
          <t>P5 · ¿Qué hay construido, cuánto verde queda y cómo está el ambiente?</t>
        </is>
      </c>
    </row>
    <row r="62">
      <c r="A62" s="10" t="inlineStr">
        <is>
          <t>F15</t>
        </is>
      </c>
      <c r="B62" s="10" t="inlineStr">
        <is>
          <t>lago/edificios.json · cifras</t>
        </is>
      </c>
      <c r="C62" s="10" t="inlineStr">
        <is>
          <t>volumenes_descartados</t>
        </is>
      </c>
      <c r="D62" s="10" t="inlineStr">
        <is>
          <t>altura</t>
        </is>
      </c>
      <c r="E62" s="10" t="inlineStr">
        <is>
          <t>Volúmenes con altura imposible (0 o &gt; 250 m)</t>
        </is>
      </c>
      <c r="F62" s="10" t="inlineStr">
        <is>
          <t>Entero</t>
        </is>
      </c>
      <c r="G62" s="10" t="inlineStr">
        <is>
          <t>volúmenes con altura 0 o mayor a 250 m (errores)</t>
        </is>
      </c>
      <c r="H62" s="10" t="inlineStr">
        <is>
          <t>2 (2021)</t>
        </is>
      </c>
      <c r="I62" s="10" t="inlineStr">
        <is>
          <t>No</t>
        </is>
      </c>
      <c r="J62" s="10" t="inlineStr">
        <is>
          <t>≥ 0</t>
        </is>
      </c>
      <c r="K62" s="10" t="inlineStr">
        <is>
          <t>Pública</t>
        </is>
      </c>
      <c r="L62" s="10" t="inlineStr">
        <is>
          <t>Conteo de excluidos</t>
        </is>
      </c>
      <c r="M62" s="10" t="inlineStr">
        <is>
          <t>P5 · ¿Qué hay construido, cuánto verde queda y cómo está el ambiente?</t>
        </is>
      </c>
    </row>
    <row r="63">
      <c r="A63" s="10" t="inlineStr">
        <is>
          <t>F15</t>
        </is>
      </c>
      <c r="B63" s="10" t="inlineStr">
        <is>
          <t>lago/edificios.json · cifras</t>
        </is>
      </c>
      <c r="C63" s="10" t="inlineStr">
        <is>
          <t>volumenes_edificados</t>
        </is>
      </c>
      <c r="D63" s="10" t="inlineStr">
        <is>
          <t>id</t>
        </is>
      </c>
      <c r="E63" s="10" t="inlineStr">
        <is>
          <t>Volúmenes edificados en el tejido</t>
        </is>
      </c>
      <c r="F63" s="10" t="inlineStr">
        <is>
          <t>Entero</t>
        </is>
      </c>
      <c r="G63" s="10" t="inlineStr">
        <is>
          <t>volúmenes edificados (filas del tejido)</t>
        </is>
      </c>
      <c r="H63" s="10" t="inlineStr">
        <is>
          <t>1386616 (2021)</t>
        </is>
      </c>
      <c r="I63" s="10" t="inlineStr">
        <is>
          <t>No</t>
        </is>
      </c>
      <c r="J63" s="10" t="inlineStr">
        <is>
          <t>≥ 0</t>
        </is>
      </c>
      <c r="K63" s="10" t="inlineStr">
        <is>
          <t>Pública</t>
        </is>
      </c>
      <c r="L63" s="10" t="inlineStr">
        <is>
          <t>Conteo de filas</t>
        </is>
      </c>
      <c r="M63" s="10" t="inlineStr">
        <is>
          <t>P5 · ¿Qué hay construido, cuánto verde queda y cómo está el ambiente?</t>
        </is>
      </c>
    </row>
    <row r="64">
      <c r="A64" s="10" t="inlineStr">
        <is>
          <t>F15</t>
        </is>
      </c>
      <c r="B64" s="10" t="inlineStr">
        <is>
          <t>lago/edificios.json · desgloses</t>
        </is>
      </c>
      <c r="C64" s="10" t="inlineStr">
        <is>
          <t>altura_mediana_por_barrio</t>
        </is>
      </c>
      <c r="D64" s="10" t="inlineStr">
        <is>
          <t>altura, barrio</t>
        </is>
      </c>
      <c r="E64" s="10" t="inlineStr">
        <is>
          <t>Altura típica de las parcelas de cada barrio (desglose [categoría, valor])</t>
        </is>
      </c>
      <c r="F64" s="10" t="inlineStr">
        <is>
          <t>Decimal</t>
        </is>
      </c>
      <c r="G64" s="10" t="inlineStr">
        <is>
          <t>m (mediana de la altura máxima por parcela)</t>
        </is>
      </c>
      <c r="H64" s="10" t="inlineStr">
        <is>
          <t>["RETIRO", 30.8]</t>
        </is>
      </c>
      <c r="I64" s="10" t="inlineStr">
        <is>
          <t>No</t>
        </is>
      </c>
      <c r="J64" s="10" t="inlineStr">
        <is>
          <t>≥ 0</t>
        </is>
      </c>
      <c r="K64" s="10" t="inlineStr">
        <is>
          <t>Pública</t>
        </is>
      </c>
      <c r="L64" s="10" t="inlineStr">
        <is>
          <t>Mediana de la altura máxima por parcela</t>
        </is>
      </c>
      <c r="M64" s="10" t="inlineStr">
        <is>
          <t>P5 · ¿Qué hay construido, cuánto verde queda y cómo está el ambiente?</t>
        </is>
      </c>
    </row>
    <row r="65">
      <c r="A65" s="10" t="inlineStr">
        <is>
          <t>F16</t>
        </is>
      </c>
      <c r="B65" s="10" t="inlineStr">
        <is>
          <t>lago/edificios.json · desgloses</t>
        </is>
      </c>
      <c r="C65" s="10" t="inlineStr">
        <is>
          <t>parcelas_edificadas_por_barrio</t>
        </is>
      </c>
      <c r="D65" s="10" t="inlineStr">
        <is>
          <t>smp, barrio</t>
        </is>
      </c>
      <c r="E65" s="10" t="inlineStr">
        <is>
          <t>Parcelas edificadas en cada barrio (desglose [categoría, valor])</t>
        </is>
      </c>
      <c r="F65" s="10" t="inlineStr">
        <is>
          <t>Entero</t>
        </is>
      </c>
      <c r="G65" s="10" t="inlineStr">
        <is>
          <t>parcelas edificadas</t>
        </is>
      </c>
      <c r="H65" s="10" t="inlineStr">
        <is>
          <t>["FLORES", 15081]</t>
        </is>
      </c>
      <c r="I65" s="10" t="inlineStr">
        <is>
          <t>No</t>
        </is>
      </c>
      <c r="J65" s="10" t="inlineStr">
        <is>
          <t>≥ 0</t>
        </is>
      </c>
      <c r="K65" s="10" t="inlineStr">
        <is>
          <t>Pública</t>
        </is>
      </c>
      <c r="L65" s="10" t="inlineStr">
        <is>
          <t>Conteo tras el cruce</t>
        </is>
      </c>
      <c r="M65" s="10" t="inlineStr">
        <is>
          <t>P5 · ¿Qué hay construido, cuánto verde queda y cómo está el ambiente?</t>
        </is>
      </c>
    </row>
    <row r="66">
      <c r="A66" s="10" t="inlineStr">
        <is>
          <t>F15</t>
        </is>
      </c>
      <c r="B66" s="10" t="inlineStr">
        <is>
          <t>lago/edificios.json · desgloses</t>
        </is>
      </c>
      <c r="C66" s="10" t="inlineStr">
        <is>
          <t>parcelas_por_rango_altura</t>
        </is>
      </c>
      <c r="D66" s="10" t="inlineStr">
        <is>
          <t>altura</t>
        </is>
      </c>
      <c r="E66" s="10" t="inlineStr">
        <is>
          <t>Parcelas según su altura (≈ pisos) (desglose [categoría, valor])</t>
        </is>
      </c>
      <c r="F66" s="10" t="inlineStr">
        <is>
          <t>Entero</t>
        </is>
      </c>
      <c r="G66" s="10" t="inlineStr">
        <is>
          <t>parcelas edificadas</t>
        </is>
      </c>
      <c r="H66" s="10" t="inlineStr">
        <is>
          <t>["hasta 9 m (≈1-3 pisos)", 241175]</t>
        </is>
      </c>
      <c r="I66" s="10" t="inlineStr">
        <is>
          <t>No</t>
        </is>
      </c>
      <c r="J66" s="10" t="inlineStr">
        <is>
          <t>≥ 0</t>
        </is>
      </c>
      <c r="K66" s="10" t="inlineStr">
        <is>
          <t>Pública</t>
        </is>
      </c>
      <c r="L66" s="10" t="inlineStr">
        <is>
          <t>Rangos 0-9, 9-15, 15-30, 30-60, &gt;60 m</t>
        </is>
      </c>
      <c r="M66" s="10" t="inlineStr">
        <is>
          <t>P5 · ¿Qué hay construido, cuánto verde queda y cómo está el ambiente?</t>
        </is>
      </c>
    </row>
    <row r="67">
      <c r="A67" s="10" t="inlineStr">
        <is>
          <t>F16</t>
        </is>
      </c>
      <c r="B67" s="10" t="inlineStr">
        <is>
          <t>lago/edificios.json · desgloses</t>
        </is>
      </c>
      <c r="C67" s="10" t="inlineStr">
        <is>
          <t>parcelas_por_via_de_cruce</t>
        </is>
      </c>
      <c r="D67" s="10" t="inlineStr">
        <is>
          <t>smp</t>
        </is>
      </c>
      <c r="E67" s="10" t="inlineStr">
        <is>
          <t>Cómo se le encontró barrio a cada parcela (desglose [categoría, valor])</t>
        </is>
      </c>
      <c r="F67" s="10" t="inlineStr">
        <is>
          <t>Entero</t>
        </is>
      </c>
      <c r="G67" s="10" t="inlineStr">
        <is>
          <t>parcelas edificadas</t>
        </is>
      </c>
      <c r="H67" s="10" t="inlineStr">
        <is>
          <t>["parcela", 301020]</t>
        </is>
      </c>
      <c r="I67" s="10" t="inlineStr">
        <is>
          <t>No</t>
        </is>
      </c>
      <c r="J67" s="10" t="inlineStr">
        <is>
          <t>≥ 0</t>
        </is>
      </c>
      <c r="K67" s="10" t="inlineStr">
        <is>
          <t>Pública</t>
        </is>
      </c>
      <c r="L67" s="10" t="inlineStr">
        <is>
          <t>parcela / manzana / sin cruce</t>
        </is>
      </c>
      <c r="M67" s="10" t="inlineStr">
        <is>
          <t>P5 · ¿Qué hay construido, cuánto verde queda y cómo está el ambiente?</t>
        </is>
      </c>
    </row>
    <row r="68">
      <c r="A68" s="10" t="inlineStr">
        <is>
          <t>F15</t>
        </is>
      </c>
      <c r="B68" s="10" t="inlineStr">
        <is>
          <t>lago/edificios.json · desgloses</t>
        </is>
      </c>
      <c r="C68" s="10" t="inlineStr">
        <is>
          <t>pct_parcelas_mas_30m_por_barrio</t>
        </is>
      </c>
      <c r="D68" s="10" t="inlineStr">
        <is>
          <t>altura, barrio</t>
        </is>
      </c>
      <c r="E68" s="10" t="inlineStr">
        <is>
          <t>Porcentaje de parcelas con más de 30 m (≈ 10 pisos) por barrio (desglose [categoría, valor])</t>
        </is>
      </c>
      <c r="F68" s="10" t="inlineStr">
        <is>
          <t>Decimal</t>
        </is>
      </c>
      <c r="G68" s="10" t="inlineStr">
        <is>
          <t>% de parcelas edificadas con más de 30 m</t>
        </is>
      </c>
      <c r="H68" s="10" t="inlineStr">
        <is>
          <t>["PUERTO MADERO", 51.6]</t>
        </is>
      </c>
      <c r="I68" s="10" t="inlineStr">
        <is>
          <t>No</t>
        </is>
      </c>
      <c r="J68" s="10" t="inlineStr">
        <is>
          <t>0 a 100</t>
        </is>
      </c>
      <c r="K68" s="10" t="inlineStr">
        <is>
          <t>Pública</t>
        </is>
      </c>
      <c r="L68" s="10" t="inlineStr">
        <is>
          <t>Proporción × 100</t>
        </is>
      </c>
      <c r="M68" s="10" t="inlineStr">
        <is>
          <t>P5 · ¿Qué hay construido, cuánto verde queda y cómo está el ambiente?</t>
        </is>
      </c>
    </row>
    <row r="69">
      <c r="A69" s="10" t="inlineStr">
        <is>
          <t>F14</t>
        </is>
      </c>
      <c r="B69" s="10" t="inlineStr">
        <is>
          <t>lago/edificios.json · desgloses</t>
        </is>
      </c>
      <c r="C69" s="10" t="inlineStr">
        <is>
          <t>por_anio</t>
        </is>
      </c>
      <c r="D69" s="10" t="inlineStr">
        <is>
          <t>fecha</t>
        </is>
      </c>
      <c r="E69" s="10" t="inlineStr">
        <is>
          <t>Permisos de obra por año (desglose [categoría, valor])</t>
        </is>
      </c>
      <c r="F69" s="10" t="inlineStr">
        <is>
          <t>Entero</t>
        </is>
      </c>
      <c r="G69" s="10" t="inlineStr">
        <is>
          <t>obras registradas</t>
        </is>
      </c>
      <c r="H69" s="10" t="inlineStr">
        <is>
          <t>["2020", 918]</t>
        </is>
      </c>
      <c r="I69" s="10" t="inlineStr">
        <is>
          <t>No</t>
        </is>
      </c>
      <c r="J69" s="10" t="inlineStr">
        <is>
          <t>≥ 0</t>
        </is>
      </c>
      <c r="K69" s="10" t="inlineStr">
        <is>
          <t>Pública</t>
        </is>
      </c>
      <c r="L69" s="10" t="inlineStr">
        <is>
          <t>Año extraído de dd/mm/aaaa</t>
        </is>
      </c>
      <c r="M69" s="10" t="inlineStr">
        <is>
          <t>P5 · ¿Qué hay construido, cuánto verde queda y cómo está el ambiente?</t>
        </is>
      </c>
    </row>
    <row r="70">
      <c r="A70" s="10" t="inlineStr">
        <is>
          <t>F14</t>
        </is>
      </c>
      <c r="B70" s="10" t="inlineStr">
        <is>
          <t>lago/edificios.json · desgloses</t>
        </is>
      </c>
      <c r="C70" s="10" t="inlineStr">
        <is>
          <t>por_barrio</t>
        </is>
      </c>
      <c r="D70" s="10" t="inlineStr">
        <is>
          <t>barrio</t>
        </is>
      </c>
      <c r="E70" s="10" t="inlineStr">
        <is>
          <t>Permisos de obra en cada barrio (desglose [categoría, valor])</t>
        </is>
      </c>
      <c r="F70" s="10" t="inlineStr">
        <is>
          <t>Entero</t>
        </is>
      </c>
      <c r="G70" s="10" t="inlineStr">
        <is>
          <t>obras registradas</t>
        </is>
      </c>
      <c r="H70" s="10" t="inlineStr">
        <is>
          <t>["PALERMO", 8985]</t>
        </is>
      </c>
      <c r="I70" s="10" t="inlineStr">
        <is>
          <t>No</t>
        </is>
      </c>
      <c r="J70" s="10" t="inlineStr">
        <is>
          <t>≥ 0</t>
        </is>
      </c>
      <c r="K70" s="10" t="inlineStr">
        <is>
          <t>Pública</t>
        </is>
      </c>
      <c r="L70" s="10" t="inlineStr">
        <is>
          <t>Mayúsculas; conteo</t>
        </is>
      </c>
      <c r="M70" s="10" t="inlineStr">
        <is>
          <t>P5 · ¿Qué hay construido, cuánto verde queda y cómo está el ambiente?</t>
        </is>
      </c>
    </row>
    <row r="71">
      <c r="A71" s="10" t="inlineStr">
        <is>
          <t>F15</t>
        </is>
      </c>
      <c r="B71" s="10" t="inlineStr">
        <is>
          <t>lago/edificios.json · desgloses</t>
        </is>
      </c>
      <c r="C71" s="10" t="inlineStr">
        <is>
          <t>volumenes_por_tipo</t>
        </is>
      </c>
      <c r="D71" s="10" t="inlineStr">
        <is>
          <t>tipo</t>
        </is>
      </c>
      <c r="E71" s="10" t="inlineStr">
        <is>
          <t>Volúmenes edificados por tipo (desglose [categoría, valor])</t>
        </is>
      </c>
      <c r="F71" s="10" t="inlineStr">
        <is>
          <t>Entero</t>
        </is>
      </c>
      <c r="G71" s="10" t="inlineStr">
        <is>
          <t>volúmenes edificados</t>
        </is>
      </c>
      <c r="H71" s="10" t="inlineStr">
        <is>
          <t>["Edificio", 1386614]</t>
        </is>
      </c>
      <c r="I71" s="10" t="inlineStr">
        <is>
          <t>No</t>
        </is>
      </c>
      <c r="J71" s="10" t="inlineStr">
        <is>
          <t>≥ 0</t>
        </is>
      </c>
      <c r="K71" s="10" t="inlineStr">
        <is>
          <t>Pública</t>
        </is>
      </c>
      <c r="L71" s="10" t="inlineStr">
        <is>
          <t>Conteo</t>
        </is>
      </c>
      <c r="M71" s="10" t="inlineStr">
        <is>
          <t>P5 · ¿Qué hay construido, cuánto verde queda y cómo está el ambiente?</t>
        </is>
      </c>
    </row>
    <row r="72">
      <c r="A72" s="10" t="inlineStr">
        <is>
          <t>F14</t>
        </is>
      </c>
      <c r="B72" s="10" t="inlineStr">
        <is>
          <t>lago/edificios.json</t>
        </is>
      </c>
      <c r="C72" s="10" t="inlineStr">
        <is>
          <t>campos</t>
        </is>
      </c>
      <c r="D72" s="10" t="inlineStr">
        <is>
          <t>metadatos del portal</t>
        </is>
      </c>
      <c r="E72" s="10" t="inlineStr">
        <is>
          <t>Nombres de columnas del crudo, para trazabilidad</t>
        </is>
      </c>
      <c r="F72" s="10" t="inlineStr">
        <is>
          <t>Texto</t>
        </is>
      </c>
      <c r="G72" s="10" t="inlineStr">
        <is>
          <t>—</t>
        </is>
      </c>
      <c r="H72" s="10" t="inlineStr">
        <is>
          <t>wkt_1</t>
        </is>
      </c>
      <c r="I72" s="10" t="inlineStr">
        <is>
          <t>No</t>
        </is>
      </c>
      <c r="J72" s="10" t="inlineStr">
        <is>
          <t>—</t>
        </is>
      </c>
      <c r="K72" s="10" t="inlineStr">
        <is>
          <t>Pública</t>
        </is>
      </c>
      <c r="L72" s="10" t="inlineStr">
        <is>
          <t>Se copian de la cabecera</t>
        </is>
      </c>
      <c r="M72" s="10" t="inlineStr">
        <is>
          <t>Fuentes y método · ¿de dónde sale cada cifra y qué tan confiable es?</t>
        </is>
      </c>
    </row>
    <row r="73">
      <c r="A73" s="10" t="inlineStr">
        <is>
          <t>F14</t>
        </is>
      </c>
      <c r="B73" s="10" t="inlineStr">
        <is>
          <t>lago/edificios.json</t>
        </is>
      </c>
      <c r="C73" s="10" t="inlineStr">
        <is>
          <t>recurso</t>
        </is>
      </c>
      <c r="D73" s="10" t="inlineStr">
        <is>
          <t>metadatos del portal</t>
        </is>
      </c>
      <c r="E73" s="10" t="inlineStr">
        <is>
          <t>Nombre, URL y formato del recurso descargado</t>
        </is>
      </c>
      <c r="F73" s="10" t="inlineStr">
        <is>
          <t>Texto</t>
        </is>
      </c>
      <c r="G73" s="10" t="inlineStr">
        <is>
          <t>—</t>
        </is>
      </c>
      <c r="H73" s="10" t="inlineStr">
        <is>
          <t>{'formato': 'CSV', 'nombre': 'Obras Registradas', 'url': 'https://cdn.buenosaire</t>
        </is>
      </c>
      <c r="I73" s="10" t="inlineStr">
        <is>
          <t>No</t>
        </is>
      </c>
      <c r="J73" s="10" t="inlineStr">
        <is>
          <t>—</t>
        </is>
      </c>
      <c r="K73" s="10" t="inlineStr">
        <is>
          <t>Pública</t>
        </is>
      </c>
      <c r="L73" s="10" t="inlineStr">
        <is>
          <t>Se copian del portal</t>
        </is>
      </c>
      <c r="M73" s="10" t="inlineStr">
        <is>
          <t>Fuentes y método · ¿de dónde sale cada cifra y qué tan confiable es?</t>
        </is>
      </c>
    </row>
    <row r="74">
      <c r="A74" s="10" t="inlineStr">
        <is>
          <t>F21</t>
        </is>
      </c>
      <c r="B74" s="10" t="inlineStr">
        <is>
          <t>lago/educacion.json · cifras</t>
        </is>
      </c>
      <c r="C74" s="10" t="inlineStr">
        <is>
          <t>estatales</t>
        </is>
      </c>
      <c r="D74" s="10" t="inlineStr">
        <is>
          <t>ges</t>
        </is>
      </c>
      <c r="E74" s="10" t="inlineStr">
        <is>
          <t>Establecimientos de gestión estatal</t>
        </is>
      </c>
      <c r="F74" s="10" t="inlineStr">
        <is>
          <t>Entero</t>
        </is>
      </c>
      <c r="G74" s="10" t="inlineStr">
        <is>
          <t>establecimientos de gestión estatal</t>
        </is>
      </c>
      <c r="H74" s="10" t="inlineStr">
        <is>
          <t>1773 (2026-10)</t>
        </is>
      </c>
      <c r="I74" s="10" t="inlineStr">
        <is>
          <t>No</t>
        </is>
      </c>
      <c r="J74" s="10" t="inlineStr">
        <is>
          <t>≥ 0</t>
        </is>
      </c>
      <c r="K74" s="10" t="inlineStr">
        <is>
          <t>Pública</t>
        </is>
      </c>
      <c r="L74" s="10" t="inlineStr">
        <is>
          <t>Conteo de ges = Estatal</t>
        </is>
      </c>
      <c r="M74" s="10" t="inlineStr">
        <is>
          <t>P1 · ¿Cuánta gente vive en cada barrio y qué servicios de salud, educación y cultura tiene cerca?</t>
        </is>
      </c>
    </row>
    <row r="75">
      <c r="A75" s="10" t="inlineStr">
        <is>
          <t>F21</t>
        </is>
      </c>
      <c r="B75" s="10" t="inlineStr">
        <is>
          <t>lago/educacion.json · cifras</t>
        </is>
      </c>
      <c r="C75" s="10" t="inlineStr">
        <is>
          <t>registros</t>
        </is>
      </c>
      <c r="D75" s="10" t="inlineStr">
        <is>
          <t>id</t>
        </is>
      </c>
      <c r="E75" s="10" t="inlineStr">
        <is>
          <t>Ofertas educativas (nivel/modalidad por establecimiento)</t>
        </is>
      </c>
      <c r="F75" s="10" t="inlineStr">
        <is>
          <t>Entero</t>
        </is>
      </c>
      <c r="G75" s="10" t="inlineStr">
        <is>
          <t>establecimientos educativos (oferta por nivel)</t>
        </is>
      </c>
      <c r="H75" s="10" t="inlineStr">
        <is>
          <t>2767 (2026-10)</t>
        </is>
      </c>
      <c r="I75" s="10" t="inlineStr">
        <is>
          <t>No</t>
        </is>
      </c>
      <c r="J75" s="10" t="inlineStr">
        <is>
          <t>≥ 0</t>
        </is>
      </c>
      <c r="K75" s="10" t="inlineStr">
        <is>
          <t>Pública</t>
        </is>
      </c>
      <c r="L75" s="10" t="inlineStr">
        <is>
          <t>Conteo de filas</t>
        </is>
      </c>
      <c r="M75" s="10" t="inlineStr">
        <is>
          <t>P1 · ¿Cuánta gente vive en cada barrio y qué servicios de salud, educación y cultura tiene cerca?</t>
        </is>
      </c>
    </row>
    <row r="76">
      <c r="A76" s="10" t="inlineStr">
        <is>
          <t>F21</t>
        </is>
      </c>
      <c r="B76" s="10" t="inlineStr">
        <is>
          <t>lago/educacion.json · desgloses</t>
        </is>
      </c>
      <c r="C76" s="10" t="inlineStr">
        <is>
          <t>por_barrio</t>
        </is>
      </c>
      <c r="D76" s="10" t="inlineStr">
        <is>
          <t>bar</t>
        </is>
      </c>
      <c r="E76" s="10" t="inlineStr">
        <is>
          <t>Ofertas educativas en cada barrio (desglose [categoría, valor])</t>
        </is>
      </c>
      <c r="F76" s="10" t="inlineStr">
        <is>
          <t>Entero</t>
        </is>
      </c>
      <c r="G76" s="10" t="inlineStr">
        <is>
          <t>establecimientos educativos</t>
        </is>
      </c>
      <c r="H76" s="10" t="inlineStr">
        <is>
          <t>["PALERMO", 170]</t>
        </is>
      </c>
      <c r="I76" s="10" t="inlineStr">
        <is>
          <t>No</t>
        </is>
      </c>
      <c r="J76" s="10" t="inlineStr">
        <is>
          <t>≥ 0</t>
        </is>
      </c>
      <c r="K76" s="10" t="inlineStr">
        <is>
          <t>Pública</t>
        </is>
      </c>
      <c r="L76" s="10" t="inlineStr">
        <is>
          <t>Mayúsculas sin tildes; conteo</t>
        </is>
      </c>
      <c r="M76" s="10" t="inlineStr">
        <is>
          <t>P1 · ¿Cuánta gente vive en cada barrio y qué servicios de salud, educación y cultura tiene cerca?</t>
        </is>
      </c>
    </row>
    <row r="77">
      <c r="A77" s="10" t="inlineStr">
        <is>
          <t>F21</t>
        </is>
      </c>
      <c r="B77" s="10" t="inlineStr">
        <is>
          <t>lago/educacion.json · desgloses</t>
        </is>
      </c>
      <c r="C77" s="10" t="inlineStr">
        <is>
          <t>por_gestion</t>
        </is>
      </c>
      <c r="D77" s="10" t="inlineStr">
        <is>
          <t>ges</t>
        </is>
      </c>
      <c r="E77" s="10" t="inlineStr">
        <is>
          <t>Ofertas por tipo de gestión (estatal/privada) (desglose [categoría, valor])</t>
        </is>
      </c>
      <c r="F77" s="10" t="inlineStr">
        <is>
          <t>Entero</t>
        </is>
      </c>
      <c r="G77" s="10" t="inlineStr">
        <is>
          <t>establecimientos educativos</t>
        </is>
      </c>
      <c r="H77" s="10" t="inlineStr">
        <is>
          <t>["Estatal", 1773]</t>
        </is>
      </c>
      <c r="I77" s="10" t="inlineStr">
        <is>
          <t>No</t>
        </is>
      </c>
      <c r="J77" s="10" t="inlineStr">
        <is>
          <t>≥ 0</t>
        </is>
      </c>
      <c r="K77" s="10" t="inlineStr">
        <is>
          <t>Pública</t>
        </is>
      </c>
      <c r="L77" s="10" t="inlineStr">
        <is>
          <t>Conteo</t>
        </is>
      </c>
      <c r="M77" s="10" t="inlineStr">
        <is>
          <t>P1 · ¿Cuánta gente vive en cada barrio y qué servicios de salud, educación y cultura tiene cerca?</t>
        </is>
      </c>
    </row>
    <row r="78">
      <c r="A78" s="10" t="inlineStr">
        <is>
          <t>F21</t>
        </is>
      </c>
      <c r="B78" s="10" t="inlineStr">
        <is>
          <t>lago/educacion.json · desgloses</t>
        </is>
      </c>
      <c r="C78" s="10" t="inlineStr">
        <is>
          <t>por_nivel</t>
        </is>
      </c>
      <c r="D78" s="10" t="inlineStr">
        <is>
          <t>nen_mde</t>
        </is>
      </c>
      <c r="E78" s="10" t="inlineStr">
        <is>
          <t>Ofertas por nivel educativo (desglose [categoría, valor])</t>
        </is>
      </c>
      <c r="F78" s="10" t="inlineStr">
        <is>
          <t>Entero</t>
        </is>
      </c>
      <c r="G78" s="10" t="inlineStr">
        <is>
          <t>establecimientos educativos</t>
        </is>
      </c>
      <c r="H78" s="10" t="inlineStr">
        <is>
          <t>["Nivel primario común", 485]</t>
        </is>
      </c>
      <c r="I78" s="10" t="inlineStr">
        <is>
          <t>No</t>
        </is>
      </c>
      <c r="J78" s="10" t="inlineStr">
        <is>
          <t>≥ 0</t>
        </is>
      </c>
      <c r="K78" s="10" t="inlineStr">
        <is>
          <t>Pública</t>
        </is>
      </c>
      <c r="L78" s="10" t="inlineStr">
        <is>
          <t>Conteo</t>
        </is>
      </c>
      <c r="M78" s="10" t="inlineStr">
        <is>
          <t>P1 · ¿Cuánta gente vive en cada barrio y qué servicios de salud, educación y cultura tiene cerca?</t>
        </is>
      </c>
    </row>
    <row r="79">
      <c r="A79" s="10" t="inlineStr">
        <is>
          <t>F12</t>
        </is>
      </c>
      <c r="B79" s="10" t="inlineStr">
        <is>
          <t>lago/escucha.json · cifras</t>
        </is>
      </c>
      <c r="C79" s="10" t="inlineStr">
        <is>
          <t>vistas_ultimo_mes</t>
        </is>
      </c>
      <c r="D79" s="10" t="inlineStr">
        <is>
          <t>views</t>
        </is>
      </c>
      <c r="E79" s="10" t="inlineStr">
        <is>
          <t>Vistas del artículo «Buenos Aires» hechas por personas en el último mes</t>
        </is>
      </c>
      <c r="F79" s="10" t="inlineStr">
        <is>
          <t>Entero</t>
        </is>
      </c>
      <c r="G79" s="10" t="inlineStr">
        <is>
          <t>vistas de personas</t>
        </is>
      </c>
      <c r="H79" s="10" t="inlineStr">
        <is>
          <t>36339 (2026-08)</t>
        </is>
      </c>
      <c r="I79" s="10" t="inlineStr">
        <is>
          <t>No</t>
        </is>
      </c>
      <c r="J79" s="10" t="inlineStr">
        <is>
          <t>≥ 0</t>
        </is>
      </c>
      <c r="K79" s="10" t="inlineStr">
        <is>
          <t>Pública</t>
        </is>
      </c>
      <c r="L79" s="10" t="inlineStr">
        <is>
          <t>Último mes de la serie; AAAAMMDD → AAAA-MM</t>
        </is>
      </c>
      <c r="M79" s="10" t="inlineStr">
        <is>
          <t>P4 · ¿Cuánto pesan el turismo, el empleo y los precios?</t>
        </is>
      </c>
    </row>
    <row r="80">
      <c r="A80" s="10" t="inlineStr">
        <is>
          <t>F12</t>
        </is>
      </c>
      <c r="B80" s="10" t="inlineStr">
        <is>
          <t>lago/escucha.json · series</t>
        </is>
      </c>
      <c r="C80" s="10" t="inlineStr">
        <is>
          <t>vistas_mensuales</t>
        </is>
      </c>
      <c r="D80" s="10" t="inlineStr">
        <is>
          <t>views</t>
        </is>
      </c>
      <c r="E80" s="10" t="inlineStr">
        <is>
          <t>Vistas mensuales del artículo «Buenos Aires» (serie [periodo, valor])</t>
        </is>
      </c>
      <c r="F80" s="10" t="inlineStr">
        <is>
          <t>Entero</t>
        </is>
      </c>
      <c r="G80" s="10" t="inlineStr">
        <is>
          <t>vistas de personas</t>
        </is>
      </c>
      <c r="H80" s="10" t="inlineStr">
        <is>
          <t>["2025-01", 54291]</t>
        </is>
      </c>
      <c r="I80" s="10" t="inlineStr">
        <is>
          <t>No</t>
        </is>
      </c>
      <c r="J80" s="10" t="inlineStr">
        <is>
          <t>≥ 0</t>
        </is>
      </c>
      <c r="K80" s="10" t="inlineStr">
        <is>
          <t>Pública</t>
        </is>
      </c>
      <c r="L80" s="10" t="inlineStr">
        <is>
          <t>AAAAMMDD → AAAA-MM</t>
        </is>
      </c>
      <c r="M80" s="10" t="inlineStr">
        <is>
          <t>P4 · ¿Cuánto pesan el turismo, el empleo y los precios?</t>
        </is>
      </c>
    </row>
    <row r="81">
      <c r="A81" s="10" t="inlineStr">
        <is>
          <t>F17</t>
        </is>
      </c>
      <c r="B81" s="10" t="inlineStr">
        <is>
          <t>lago/espacios_verdes.json · cifras</t>
        </is>
      </c>
      <c r="C81" s="10" t="inlineStr">
        <is>
          <t>registros</t>
        </is>
      </c>
      <c r="D81" s="10" t="inlineStr">
        <is>
          <t>id</t>
        </is>
      </c>
      <c r="E81" s="10" t="inlineStr">
        <is>
          <t>Espacios verdes públicos</t>
        </is>
      </c>
      <c r="F81" s="10" t="inlineStr">
        <is>
          <t>Entero</t>
        </is>
      </c>
      <c r="G81" s="10" t="inlineStr">
        <is>
          <t>espacios verdes públicos</t>
        </is>
      </c>
      <c r="H81" s="10" t="inlineStr">
        <is>
          <t>2176 (2026-07)</t>
        </is>
      </c>
      <c r="I81" s="10" t="inlineStr">
        <is>
          <t>No</t>
        </is>
      </c>
      <c r="J81" s="10" t="inlineStr">
        <is>
          <t>≥ 0</t>
        </is>
      </c>
      <c r="K81" s="10" t="inlineStr">
        <is>
          <t>Pública</t>
        </is>
      </c>
      <c r="L81" s="10" t="inlineStr">
        <is>
          <t>Conteo de filas</t>
        </is>
      </c>
      <c r="M81" s="10" t="inlineStr">
        <is>
          <t>P5 · ¿Qué hay construido, cuánto verde queda y cómo está el ambiente?</t>
        </is>
      </c>
    </row>
    <row r="82">
      <c r="A82" s="10" t="inlineStr">
        <is>
          <t>F17</t>
        </is>
      </c>
      <c r="B82" s="10" t="inlineStr">
        <is>
          <t>lago/espacios_verdes.json · cifras</t>
        </is>
      </c>
      <c r="C82" s="10" t="inlineStr">
        <is>
          <t>superficie_m2</t>
        </is>
      </c>
      <c r="D82" s="10" t="inlineStr">
        <is>
          <t>area</t>
        </is>
      </c>
      <c r="E82" s="10" t="inlineStr">
        <is>
          <t>Superficie total de verde público</t>
        </is>
      </c>
      <c r="F82" s="10" t="inlineStr">
        <is>
          <t>Entero</t>
        </is>
      </c>
      <c r="G82" s="10" t="inlineStr">
        <is>
          <t>m² de espacio verde público</t>
        </is>
      </c>
      <c r="H82" s="10" t="inlineStr">
        <is>
          <t>15838266 (2026-07)</t>
        </is>
      </c>
      <c r="I82" s="10" t="inlineStr">
        <is>
          <t>No</t>
        </is>
      </c>
      <c r="J82" s="10" t="inlineStr">
        <is>
          <t>≥ 0</t>
        </is>
      </c>
      <c r="K82" s="10" t="inlineStr">
        <is>
          <t>Pública</t>
        </is>
      </c>
      <c r="L82" s="10" t="inlineStr">
        <is>
          <t>Suma, redondeo a m²</t>
        </is>
      </c>
      <c r="M82" s="10" t="inlineStr">
        <is>
          <t>P5 · ¿Qué hay construido, cuánto verde queda y cómo está el ambiente?</t>
        </is>
      </c>
    </row>
    <row r="83">
      <c r="A83" s="10" t="inlineStr">
        <is>
          <t>F17</t>
        </is>
      </c>
      <c r="B83" s="10" t="inlineStr">
        <is>
          <t>lago/espacios_verdes.json · desgloses</t>
        </is>
      </c>
      <c r="C83" s="10" t="inlineStr">
        <is>
          <t>m2_por_barrio</t>
        </is>
      </c>
      <c r="D83" s="10" t="inlineStr">
        <is>
          <t>area, barrio</t>
        </is>
      </c>
      <c r="E83" s="10" t="inlineStr">
        <is>
          <t>Metros cuadrados de verde público en cada barrio (desglose [categoría, valor])</t>
        </is>
      </c>
      <c r="F83" s="10" t="inlineStr">
        <is>
          <t>Entero</t>
        </is>
      </c>
      <c r="G83" s="10" t="inlineStr">
        <is>
          <t>m² de espacio verde público</t>
        </is>
      </c>
      <c r="H83" s="10" t="inlineStr">
        <is>
          <t>["PUERTO MADERO", 2813125]</t>
        </is>
      </c>
      <c r="I83" s="10" t="inlineStr">
        <is>
          <t>No</t>
        </is>
      </c>
      <c r="J83" s="10" t="inlineStr">
        <is>
          <t>≥ 0</t>
        </is>
      </c>
      <c r="K83" s="10" t="inlineStr">
        <is>
          <t>Pública</t>
        </is>
      </c>
      <c r="L83" s="10" t="inlineStr">
        <is>
          <t>Suma por barrio</t>
        </is>
      </c>
      <c r="M83" s="10" t="inlineStr">
        <is>
          <t>P5 · ¿Qué hay construido, cuánto verde queda y cómo está el ambiente?</t>
        </is>
      </c>
    </row>
    <row r="84">
      <c r="A84" s="10" t="inlineStr">
        <is>
          <t>F17</t>
        </is>
      </c>
      <c r="B84" s="10" t="inlineStr">
        <is>
          <t>lago/espacios_verdes.json · desgloses</t>
        </is>
      </c>
      <c r="C84" s="10" t="inlineStr">
        <is>
          <t>m2_por_clasificacion</t>
        </is>
      </c>
      <c r="D84" s="10" t="inlineStr">
        <is>
          <t>area, clasificac</t>
        </is>
      </c>
      <c r="E84" s="10" t="inlineStr">
        <is>
          <t>Metros cuadrados por tipo (parque, plaza, plazoleta…) (desglose [categoría, valor])</t>
        </is>
      </c>
      <c r="F84" s="10" t="inlineStr">
        <is>
          <t>Entero</t>
        </is>
      </c>
      <c r="G84" s="10" t="inlineStr">
        <is>
          <t>m² de espacio verde público</t>
        </is>
      </c>
      <c r="H84" s="10" t="inlineStr">
        <is>
          <t>["PARQUE", 6023248]</t>
        </is>
      </c>
      <c r="I84" s="10" t="inlineStr">
        <is>
          <t>No</t>
        </is>
      </c>
      <c r="J84" s="10" t="inlineStr">
        <is>
          <t>≥ 0</t>
        </is>
      </c>
      <c r="K84" s="10" t="inlineStr">
        <is>
          <t>Pública</t>
        </is>
      </c>
      <c r="L84" s="10" t="inlineStr">
        <is>
          <t>Suma por tipo</t>
        </is>
      </c>
      <c r="M84" s="10" t="inlineStr">
        <is>
          <t>P5 · ¿Qué hay construido, cuánto verde queda y cómo está el ambiente?</t>
        </is>
      </c>
    </row>
    <row r="85">
      <c r="A85" s="10" t="inlineStr">
        <is>
          <t>F17</t>
        </is>
      </c>
      <c r="B85" s="10" t="inlineStr">
        <is>
          <t>lago/espacios_verdes.json · desgloses</t>
        </is>
      </c>
      <c r="C85" s="10" t="inlineStr">
        <is>
          <t>por_barrio</t>
        </is>
      </c>
      <c r="D85" s="10" t="inlineStr">
        <is>
          <t>barrio</t>
        </is>
      </c>
      <c r="E85" s="10" t="inlineStr">
        <is>
          <t>Espacios verdes públicos en cada barrio (desglose [categoría, valor])</t>
        </is>
      </c>
      <c r="F85" s="10" t="inlineStr">
        <is>
          <t>Entero</t>
        </is>
      </c>
      <c r="G85" s="10" t="inlineStr">
        <is>
          <t>espacios verdes públicos</t>
        </is>
      </c>
      <c r="H85" s="10" t="inlineStr">
        <is>
          <t>["VILLA LUGANO", 227]</t>
        </is>
      </c>
      <c r="I85" s="10" t="inlineStr">
        <is>
          <t>No</t>
        </is>
      </c>
      <c r="J85" s="10" t="inlineStr">
        <is>
          <t>≥ 0</t>
        </is>
      </c>
      <c r="K85" s="10" t="inlineStr">
        <is>
          <t>Pública</t>
        </is>
      </c>
      <c r="L85" s="10" t="inlineStr">
        <is>
          <t>Mayúsculas sin tildes; conteo</t>
        </is>
      </c>
      <c r="M85" s="10" t="inlineStr">
        <is>
          <t>P5 · ¿Qué hay construido, cuánto verde queda y cómo está el ambiente?</t>
        </is>
      </c>
    </row>
    <row r="86">
      <c r="A86" s="10" t="inlineStr">
        <is>
          <t>F24</t>
        </is>
      </c>
      <c r="B86" s="10" t="inlineStr">
        <is>
          <t>lago/geoinfraestructura.json · cifras</t>
        </is>
      </c>
      <c r="C86" s="10" t="inlineStr">
        <is>
          <t>estaciones_distintas</t>
        </is>
      </c>
      <c r="D86" s="10" t="inlineStr">
        <is>
          <t>estacion</t>
        </is>
      </c>
      <c r="E86" s="10" t="inlineStr">
        <is>
          <t>Estaciones de subte con nombre distinto</t>
        </is>
      </c>
      <c r="F86" s="10" t="inlineStr">
        <is>
          <t>Entero</t>
        </is>
      </c>
      <c r="G86" s="10" t="inlineStr">
        <is>
          <t>estaciones (nombres distintos)</t>
        </is>
      </c>
      <c r="H86" s="10" t="inlineStr">
        <is>
          <t>88 (2026-10)</t>
        </is>
      </c>
      <c r="I86" s="10" t="inlineStr">
        <is>
          <t>No</t>
        </is>
      </c>
      <c r="J86" s="10" t="inlineStr">
        <is>
          <t>≥ 0</t>
        </is>
      </c>
      <c r="K86" s="10" t="inlineStr">
        <is>
          <t>Pública</t>
        </is>
      </c>
      <c r="L86" s="10" t="inlineStr">
        <is>
          <t>Conteo de nombres únicos</t>
        </is>
      </c>
      <c r="M86" s="10" t="inlineStr">
        <is>
          <t>P6 · ¿Cómo se mueve la gente por la Ciudad?</t>
        </is>
      </c>
    </row>
    <row r="87">
      <c r="A87" s="10" t="inlineStr">
        <is>
          <t>F24</t>
        </is>
      </c>
      <c r="B87" s="10" t="inlineStr">
        <is>
          <t>lago/geoinfraestructura.json · cifras</t>
        </is>
      </c>
      <c r="C87" s="10" t="inlineStr">
        <is>
          <t>estaciones_linea</t>
        </is>
      </c>
      <c r="D87" s="10" t="inlineStr">
        <is>
          <t>id</t>
        </is>
      </c>
      <c r="E87" s="10" t="inlineStr">
        <is>
          <t>Pares estación-línea (las de combinación cuentan una vez por línea)</t>
        </is>
      </c>
      <c r="F87" s="10" t="inlineStr">
        <is>
          <t>Entero</t>
        </is>
      </c>
      <c r="G87" s="10" t="inlineStr">
        <is>
          <t>pares estación-línea</t>
        </is>
      </c>
      <c r="H87" s="10" t="inlineStr">
        <is>
          <t>90 (2026-10)</t>
        </is>
      </c>
      <c r="I87" s="10" t="inlineStr">
        <is>
          <t>No</t>
        </is>
      </c>
      <c r="J87" s="10" t="inlineStr">
        <is>
          <t>≥ 0</t>
        </is>
      </c>
      <c r="K87" s="10" t="inlineStr">
        <is>
          <t>Pública</t>
        </is>
      </c>
      <c r="L87" s="10" t="inlineStr">
        <is>
          <t>Conteo de filas</t>
        </is>
      </c>
      <c r="M87" s="10" t="inlineStr">
        <is>
          <t>P6 · ¿Cómo se mueve la gente por la Ciudad?</t>
        </is>
      </c>
    </row>
    <row r="88">
      <c r="A88" s="10" t="inlineStr">
        <is>
          <t>F24</t>
        </is>
      </c>
      <c r="B88" s="10" t="inlineStr">
        <is>
          <t>lago/geoinfraestructura.json · cifras</t>
        </is>
      </c>
      <c r="C88" s="10" t="inlineStr">
        <is>
          <t>lineas</t>
        </is>
      </c>
      <c r="D88" s="10" t="inlineStr">
        <is>
          <t>linea</t>
        </is>
      </c>
      <c r="E88" s="10" t="inlineStr">
        <is>
          <t>Líneas de subte</t>
        </is>
      </c>
      <c r="F88" s="10" t="inlineStr">
        <is>
          <t>Entero</t>
        </is>
      </c>
      <c r="G88" s="10" t="inlineStr">
        <is>
          <t>líneas</t>
        </is>
      </c>
      <c r="H88" s="10" t="inlineStr">
        <is>
          <t>6 (2026-10)</t>
        </is>
      </c>
      <c r="I88" s="10" t="inlineStr">
        <is>
          <t>No</t>
        </is>
      </c>
      <c r="J88" s="10" t="inlineStr">
        <is>
          <t>≥ 0</t>
        </is>
      </c>
      <c r="K88" s="10" t="inlineStr">
        <is>
          <t>Pública</t>
        </is>
      </c>
      <c r="L88" s="10" t="inlineStr">
        <is>
          <t>Conteo de valores únicos</t>
        </is>
      </c>
      <c r="M88" s="10" t="inlineStr">
        <is>
          <t>P6 · ¿Cómo se mueve la gente por la Ciudad?</t>
        </is>
      </c>
    </row>
    <row r="89">
      <c r="A89" s="10" t="inlineStr">
        <is>
          <t>F24</t>
        </is>
      </c>
      <c r="B89" s="10" t="inlineStr">
        <is>
          <t>lago/geoinfraestructura.json · series</t>
        </is>
      </c>
      <c r="C89" s="10" t="inlineStr">
        <is>
          <t>pasajeros_linea_&lt;X&gt;  ⟵ pasajeros_linea_A, pasajeros_linea_B, pasajeros_linea_C, pasajeros_linea_D, pasajeros_linea_E, pasajeros_linea_H</t>
        </is>
      </c>
      <c r="D89" s="10" t="inlineStr">
        <is>
          <t>year, linea, total</t>
        </is>
      </c>
      <c r="E89" s="10" t="inlineStr">
        <is>
          <t>Pasajeros anuales de cada línea (A, B, C, D, E, H) (serie [periodo, valor])</t>
        </is>
      </c>
      <c r="F89" s="10" t="inlineStr">
        <is>
          <t>Entero</t>
        </is>
      </c>
      <c r="G89" s="10" t="inlineStr">
        <is>
          <t>pasajeros por año</t>
        </is>
      </c>
      <c r="H89" s="10" t="inlineStr">
        <is>
          <t>["2013", 26731478]</t>
        </is>
      </c>
      <c r="I89" s="10" t="inlineStr">
        <is>
          <t>No</t>
        </is>
      </c>
      <c r="J89" s="10" t="inlineStr">
        <is>
          <t>≥ 0</t>
        </is>
      </c>
      <c r="K89" s="10" t="inlineStr">
        <is>
          <t>Pública</t>
        </is>
      </c>
      <c r="L89" s="10" t="inlineStr">
        <is>
          <t>Una serie por línea</t>
        </is>
      </c>
      <c r="M89" s="10" t="inlineStr">
        <is>
          <t>P6 · ¿Cómo se mueve la gente por la Ciudad?</t>
        </is>
      </c>
    </row>
    <row r="90">
      <c r="A90" s="10" t="inlineStr">
        <is>
          <t>F24</t>
        </is>
      </c>
      <c r="B90" s="10" t="inlineStr">
        <is>
          <t>lago/geoinfraestructura.json · desgloses</t>
        </is>
      </c>
      <c r="C90" s="10" t="inlineStr">
        <is>
          <t>estaciones_por_linea</t>
        </is>
      </c>
      <c r="D90" s="10" t="inlineStr">
        <is>
          <t>linea</t>
        </is>
      </c>
      <c r="E90" s="10" t="inlineStr">
        <is>
          <t>Estaciones de cada línea (desglose [categoría, valor])</t>
        </is>
      </c>
      <c r="F90" s="10" t="inlineStr">
        <is>
          <t>Entero</t>
        </is>
      </c>
      <c r="G90" s="10" t="inlineStr">
        <is>
          <t>estaciones</t>
        </is>
      </c>
      <c r="H90" s="10" t="inlineStr">
        <is>
          <t>["A", 18]</t>
        </is>
      </c>
      <c r="I90" s="10" t="inlineStr">
        <is>
          <t>No</t>
        </is>
      </c>
      <c r="J90" s="10" t="inlineStr">
        <is>
          <t>≥ 0</t>
        </is>
      </c>
      <c r="K90" s="10" t="inlineStr">
        <is>
          <t>Pública</t>
        </is>
      </c>
      <c r="L90" s="10" t="inlineStr">
        <is>
          <t>Conteo</t>
        </is>
      </c>
      <c r="M90" s="10" t="inlineStr">
        <is>
          <t>P6 · ¿Cómo se mueve la gente por la Ciudad?</t>
        </is>
      </c>
    </row>
    <row r="91">
      <c r="A91" s="10" t="inlineStr">
        <is>
          <t>F26</t>
        </is>
      </c>
      <c r="B91" s="10" t="inlineStr">
        <is>
          <t>lago/movilidad.json · cifras</t>
        </is>
      </c>
      <c r="C91" s="10" t="inlineStr">
        <is>
          <t>estaciones_ecobici</t>
        </is>
      </c>
      <c r="D91" s="10" t="inlineStr">
        <is>
          <t>id</t>
        </is>
      </c>
      <c r="E91" s="10" t="inlineStr">
        <is>
          <t>Estaciones de bicicletas públicas</t>
        </is>
      </c>
      <c r="F91" s="10" t="inlineStr">
        <is>
          <t>Entero</t>
        </is>
      </c>
      <c r="G91" s="10" t="inlineStr">
        <is>
          <t>estaciones de bicicletas públicas</t>
        </is>
      </c>
      <c r="H91" s="10" t="inlineStr">
        <is>
          <t>407 (2026-10)</t>
        </is>
      </c>
      <c r="I91" s="10" t="inlineStr">
        <is>
          <t>No</t>
        </is>
      </c>
      <c r="J91" s="10" t="inlineStr">
        <is>
          <t>≥ 0</t>
        </is>
      </c>
      <c r="K91" s="10" t="inlineStr">
        <is>
          <t>Pública</t>
        </is>
      </c>
      <c r="L91" s="10" t="inlineStr">
        <is>
          <t>Conteo de filas</t>
        </is>
      </c>
      <c r="M91" s="10" t="inlineStr">
        <is>
          <t>P6 · ¿Cómo se mueve la gente por la Ciudad?</t>
        </is>
      </c>
    </row>
    <row r="92">
      <c r="A92" s="10" t="inlineStr">
        <is>
          <t>F27</t>
        </is>
      </c>
      <c r="B92" s="10" t="inlineStr">
        <is>
          <t>lago/movilidad.json · cifras</t>
        </is>
      </c>
      <c r="C92" s="10" t="inlineStr">
        <is>
          <t>lineas_colectivo</t>
        </is>
      </c>
      <c r="D92" s="10" t="inlineStr">
        <is>
          <t>L1 … L6</t>
        </is>
      </c>
      <c r="E92" s="10" t="inlineStr">
        <is>
          <t>Líneas de colectivo distintas con parada en la Ciudad</t>
        </is>
      </c>
      <c r="F92" s="10" t="inlineStr">
        <is>
          <t>Entero</t>
        </is>
      </c>
      <c r="G92" s="10" t="inlineStr">
        <is>
          <t>líneas de colectivo distintas con parada</t>
        </is>
      </c>
      <c r="H92" s="10" t="inlineStr">
        <is>
          <t>132 (2026-09)</t>
        </is>
      </c>
      <c r="I92" s="10" t="inlineStr">
        <is>
          <t>No</t>
        </is>
      </c>
      <c r="J92" s="10" t="inlineStr">
        <is>
          <t>≥ 0</t>
        </is>
      </c>
      <c r="K92" s="10" t="inlineStr">
        <is>
          <t>Pública</t>
        </is>
      </c>
      <c r="L92" s="10" t="inlineStr">
        <is>
          <t>Unión de L1-L6</t>
        </is>
      </c>
      <c r="M92" s="10" t="inlineStr">
        <is>
          <t>P6 · ¿Cómo se mueve la gente por la Ciudad?</t>
        </is>
      </c>
    </row>
    <row r="93">
      <c r="A93" s="10" t="inlineStr">
        <is>
          <t>F27</t>
        </is>
      </c>
      <c r="B93" s="10" t="inlineStr">
        <is>
          <t>lago/movilidad.json · cifras</t>
        </is>
      </c>
      <c r="C93" s="10" t="inlineStr">
        <is>
          <t>paradas_colectivo</t>
        </is>
      </c>
      <c r="D93" s="10" t="inlineStr">
        <is>
          <t>—</t>
        </is>
      </c>
      <c r="E93" s="10" t="inlineStr">
        <is>
          <t>Paradas de colectivo</t>
        </is>
      </c>
      <c r="F93" s="10" t="inlineStr">
        <is>
          <t>Entero</t>
        </is>
      </c>
      <c r="G93" s="10" t="inlineStr">
        <is>
          <t>paradas de colectivo</t>
        </is>
      </c>
      <c r="H93" s="10" t="inlineStr">
        <is>
          <t>7027 (2026-09)</t>
        </is>
      </c>
      <c r="I93" s="10" t="inlineStr">
        <is>
          <t>No</t>
        </is>
      </c>
      <c r="J93" s="10" t="inlineStr">
        <is>
          <t>≥ 0</t>
        </is>
      </c>
      <c r="K93" s="10" t="inlineStr">
        <is>
          <t>Pública</t>
        </is>
      </c>
      <c r="L93" s="10" t="inlineStr">
        <is>
          <t>Conteo de filas</t>
        </is>
      </c>
      <c r="M93" s="10" t="inlineStr">
        <is>
          <t>P6 · ¿Cómo se mueve la gente por la Ciudad?</t>
        </is>
      </c>
    </row>
    <row r="94">
      <c r="A94" s="10" t="inlineStr">
        <is>
          <t>F26</t>
        </is>
      </c>
      <c r="B94" s="10" t="inlineStr">
        <is>
          <t>lago/movilidad.json · desgloses</t>
        </is>
      </c>
      <c r="C94" s="10" t="inlineStr">
        <is>
          <t>ecobici_por_barrio</t>
        </is>
      </c>
      <c r="D94" s="10" t="inlineStr">
        <is>
          <t>latitud, longitud</t>
        </is>
      </c>
      <c r="E94" s="10" t="inlineStr">
        <is>
          <t>Estaciones EcoBici en cada barrio (desglose [categoría, valor])</t>
        </is>
      </c>
      <c r="F94" s="10" t="inlineStr">
        <is>
          <t>Entero</t>
        </is>
      </c>
      <c r="G94" s="10" t="inlineStr">
        <is>
          <t>estaciones de bicicletas públicas</t>
        </is>
      </c>
      <c r="H94" s="10" t="inlineStr">
        <is>
          <t>["PALERMO", 48]</t>
        </is>
      </c>
      <c r="I94" s="10" t="inlineStr">
        <is>
          <t>No</t>
        </is>
      </c>
      <c r="J94" s="10" t="inlineStr">
        <is>
          <t>≥ 0</t>
        </is>
      </c>
      <c r="K94" s="10" t="inlineStr">
        <is>
          <t>Pública</t>
        </is>
      </c>
      <c r="L94" s="10" t="inlineStr">
        <is>
          <t>Barrio por punto en polígono (el campo barrio viene vacío)</t>
        </is>
      </c>
      <c r="M94" s="10" t="inlineStr">
        <is>
          <t>P6 · ¿Cómo se mueve la gente por la Ciudad?</t>
        </is>
      </c>
    </row>
    <row r="95">
      <c r="A95" s="10" t="inlineStr">
        <is>
          <t>F27</t>
        </is>
      </c>
      <c r="B95" s="10" t="inlineStr">
        <is>
          <t>lago/movilidad.json · desgloses</t>
        </is>
      </c>
      <c r="C95" s="10" t="inlineStr">
        <is>
          <t>paradas_por_barrio</t>
        </is>
      </c>
      <c r="D95" s="10" t="inlineStr">
        <is>
          <t>coord_X, coord_Y</t>
        </is>
      </c>
      <c r="E95" s="10" t="inlineStr">
        <is>
          <t>Paradas de colectivo en cada barrio (desglose [categoría, valor])</t>
        </is>
      </c>
      <c r="F95" s="10" t="inlineStr">
        <is>
          <t>Entero</t>
        </is>
      </c>
      <c r="G95" s="10" t="inlineStr">
        <is>
          <t>paradas de colectivo</t>
        </is>
      </c>
      <c r="H95" s="10" t="inlineStr">
        <is>
          <t>["PALERMO", 482]</t>
        </is>
      </c>
      <c r="I95" s="10" t="inlineStr">
        <is>
          <t>No</t>
        </is>
      </c>
      <c r="J95" s="10" t="inlineStr">
        <is>
          <t>≥ 0</t>
        </is>
      </c>
      <c r="K95" s="10" t="inlineStr">
        <is>
          <t>Pública</t>
        </is>
      </c>
      <c r="L95" s="10" t="inlineStr">
        <is>
          <t>Barrio por punto en polígono (el campo trae erratas)</t>
        </is>
      </c>
      <c r="M95" s="10" t="inlineStr">
        <is>
          <t>P6 · ¿Cómo se mueve la gente por la Ciudad?</t>
        </is>
      </c>
    </row>
    <row r="96">
      <c r="A96" s="10" t="inlineStr">
        <is>
          <t>F06, F07</t>
        </is>
      </c>
      <c r="B96" s="10" t="inlineStr">
        <is>
          <t>lago/municipio.json · cifras</t>
        </is>
      </c>
      <c r="C96" s="10" t="inlineStr">
        <is>
          <t>devengado_&lt;año&gt;  ⟵ devengado_2025, devengado_2026</t>
        </is>
      </c>
      <c r="D96" s="10" t="inlineStr">
        <is>
          <t>Devengado / Devengado_Trim2_CONT</t>
        </is>
      </c>
      <c r="E96" s="10" t="inlineStr">
        <is>
          <t>Gasto ya comprometido y realizado (devengado)</t>
        </is>
      </c>
      <c r="F96" s="10" t="inlineStr">
        <is>
          <t>Entero</t>
        </is>
      </c>
      <c r="G96" s="10" t="inlineStr">
        <is>
          <t>pesos corrientes devengados (año completo)</t>
        </is>
      </c>
      <c r="H96" s="10" t="inlineStr">
        <is>
          <t>14414804160946 (2025)</t>
        </is>
      </c>
      <c r="I96" s="10" t="inlineStr">
        <is>
          <t>No</t>
        </is>
      </c>
      <c r="J96" s="10" t="inlineStr">
        <is>
          <t>≥ 0</t>
        </is>
      </c>
      <c r="K96" s="10" t="inlineStr">
        <is>
          <t>Pública</t>
        </is>
      </c>
      <c r="L96" s="10" t="inlineStr">
        <is>
          <t>Punto de miles → entero; suma</t>
        </is>
      </c>
      <c r="M96" s="10" t="inlineStr">
        <is>
          <t>P2 · ¿Cómo gasta la Ciudad su presupuesto y cuánto vale en pesos de hoy?</t>
        </is>
      </c>
    </row>
    <row r="97">
      <c r="A97" s="10" t="inlineStr">
        <is>
          <t>F07</t>
        </is>
      </c>
      <c r="B97" s="10" t="inlineStr">
        <is>
          <t>lago/municipio.json · cifras</t>
        </is>
      </c>
      <c r="C97" s="10" t="inlineStr">
        <is>
          <t>devengado_2025_a_precios_2026-08</t>
        </is>
      </c>
      <c r="D97" s="10" t="inlineStr">
        <is>
          <t>Devengado + IPCBA</t>
        </is>
      </c>
      <c r="E97" s="10" t="inlineStr">
        <is>
          <t>Gasto 2025 expresado en pesos de agosto de 2026</t>
        </is>
      </c>
      <c r="F97" s="10" t="inlineStr">
        <is>
          <t>Entero</t>
        </is>
      </c>
      <c r="G97" s="10" t="inlineStr">
        <is>
          <t>pesos de 2026-08 (devengado 2025 × IPCBA 2026-08 / IPCBA promedio 2025)</t>
        </is>
      </c>
      <c r="H97" s="10" t="inlineStr">
        <is>
          <t>19737444133889 (2025)</t>
        </is>
      </c>
      <c r="I97" s="10" t="inlineStr">
        <is>
          <t>No</t>
        </is>
      </c>
      <c r="J97" s="10" t="inlineStr">
        <is>
          <t>≥ 0</t>
        </is>
      </c>
      <c r="K97" s="10" t="inlineStr">
        <is>
          <t>Pública</t>
        </is>
      </c>
      <c r="L97" s="10" t="inlineStr">
        <is>
          <t>× IPCBA último / IPCBA promedio 2025</t>
        </is>
      </c>
      <c r="M97" s="10" t="inlineStr">
        <is>
          <t>P2 · ¿Cómo gasta la Ciudad su presupuesto y cuánto vale en pesos de hoy?</t>
        </is>
      </c>
    </row>
    <row r="98">
      <c r="A98" s="10" t="inlineStr">
        <is>
          <t>F06</t>
        </is>
      </c>
      <c r="B98" s="10" t="inlineStr">
        <is>
          <t>lago/municipio.json · cifras</t>
        </is>
      </c>
      <c r="C98" s="10" t="inlineStr">
        <is>
          <t>ejecucion_2026</t>
        </is>
      </c>
      <c r="D98" s="10" t="inlineStr">
        <is>
          <t>Devengado, Vigente</t>
        </is>
      </c>
      <c r="E98" s="10" t="inlineStr">
        <is>
          <t>Qué parte del presupuesto vigente ya se gastó</t>
        </is>
      </c>
      <c r="F98" s="10" t="inlineStr">
        <is>
          <t>Decimal</t>
        </is>
      </c>
      <c r="G98" s="10" t="inlineStr">
        <is>
          <t>% del crédito vigente devengado (acumulado al T2)</t>
        </is>
      </c>
      <c r="H98" s="10" t="inlineStr">
        <is>
          <t>36.7 (2026-06)</t>
        </is>
      </c>
      <c r="I98" s="10" t="inlineStr">
        <is>
          <t>No</t>
        </is>
      </c>
      <c r="J98" s="10" t="inlineStr">
        <is>
          <t>0 a 100</t>
        </is>
      </c>
      <c r="K98" s="10" t="inlineStr">
        <is>
          <t>Pública</t>
        </is>
      </c>
      <c r="L98" s="10" t="inlineStr">
        <is>
          <t>devengado / vigente × 100</t>
        </is>
      </c>
      <c r="M98" s="10" t="inlineStr">
        <is>
          <t>P2 · ¿Cómo gasta la Ciudad su presupuesto y cuánto vale en pesos de hoy?</t>
        </is>
      </c>
    </row>
    <row r="99">
      <c r="A99" s="10" t="inlineStr">
        <is>
          <t>F06</t>
        </is>
      </c>
      <c r="B99" s="10" t="inlineStr">
        <is>
          <t>lago/municipio.json · cifras</t>
        </is>
      </c>
      <c r="C99" s="10" t="inlineStr">
        <is>
          <t>registros</t>
        </is>
      </c>
      <c r="D99" s="10" t="inlineStr">
        <is>
          <t>—</t>
        </is>
      </c>
      <c r="E99" s="10" t="inlineStr">
        <is>
          <t>Filas del archivo de ejecución presupuestaria</t>
        </is>
      </c>
      <c r="F99" s="10" t="inlineStr">
        <is>
          <t>Entero</t>
        </is>
      </c>
      <c r="G99" s="10" t="inlineStr">
        <is>
          <t>filas de presupuesto (2026 T2)</t>
        </is>
      </c>
      <c r="H99" s="10" t="inlineStr">
        <is>
          <t>38756 (2026-06)</t>
        </is>
      </c>
      <c r="I99" s="10" t="inlineStr">
        <is>
          <t>No</t>
        </is>
      </c>
      <c r="J99" s="10" t="inlineStr">
        <is>
          <t>≥ 0</t>
        </is>
      </c>
      <c r="K99" s="10" t="inlineStr">
        <is>
          <t>Pública</t>
        </is>
      </c>
      <c r="L99" s="10" t="inlineStr">
        <is>
          <t>Conteo sin filas vacías</t>
        </is>
      </c>
      <c r="M99" s="10" t="inlineStr">
        <is>
          <t>P2 · ¿Cómo gasta la Ciudad su presupuesto y cuánto vale en pesos de hoy?</t>
        </is>
      </c>
    </row>
    <row r="100">
      <c r="A100" s="10" t="inlineStr">
        <is>
          <t>F06</t>
        </is>
      </c>
      <c r="B100" s="10" t="inlineStr">
        <is>
          <t>lago/municipio.json · cifras</t>
        </is>
      </c>
      <c r="C100" s="10" t="inlineStr">
        <is>
          <t>sancionado_2026</t>
        </is>
      </c>
      <c r="D100" s="10" t="inlineStr">
        <is>
          <t>Sanción</t>
        </is>
      </c>
      <c r="E100" s="10" t="inlineStr">
        <is>
          <t>Presupuesto aprobado por la Legislatura</t>
        </is>
      </c>
      <c r="F100" s="10" t="inlineStr">
        <is>
          <t>Entero</t>
        </is>
      </c>
      <c r="G100" s="10" t="inlineStr">
        <is>
          <t>pesos corrientes (crédito sancionado)</t>
        </is>
      </c>
      <c r="H100" s="10" t="inlineStr">
        <is>
          <t>18189401033591 (2026)</t>
        </is>
      </c>
      <c r="I100" s="10" t="inlineStr">
        <is>
          <t>No</t>
        </is>
      </c>
      <c r="J100" s="10" t="inlineStr">
        <is>
          <t>≥ 0</t>
        </is>
      </c>
      <c r="K100" s="10" t="inlineStr">
        <is>
          <t>Pública</t>
        </is>
      </c>
      <c r="L100" s="10" t="inlineStr">
        <is>
          <t>Punto de miles → entero; suma</t>
        </is>
      </c>
      <c r="M100" s="10" t="inlineStr">
        <is>
          <t>P2 · ¿Cómo gasta la Ciudad su presupuesto y cuánto vale en pesos de hoy?</t>
        </is>
      </c>
    </row>
    <row r="101">
      <c r="A101" s="10" t="inlineStr">
        <is>
          <t>F06, F07</t>
        </is>
      </c>
      <c r="B101" s="10" t="inlineStr">
        <is>
          <t>lago/municipio.json · cifras</t>
        </is>
      </c>
      <c r="C101" s="10" t="inlineStr">
        <is>
          <t>vigente_&lt;año&gt;  ⟵ vigente_2025, vigente_2026</t>
        </is>
      </c>
      <c r="D101" s="10" t="inlineStr">
        <is>
          <t>Vigente / Vigente_Trim2_CONT</t>
        </is>
      </c>
      <c r="E101" s="10" t="inlineStr">
        <is>
          <t>Presupuesto con las modificaciones del año</t>
        </is>
      </c>
      <c r="F101" s="10" t="inlineStr">
        <is>
          <t>Entero</t>
        </is>
      </c>
      <c r="G101" s="10" t="inlineStr">
        <is>
          <t>pesos corrientes (crédito vigente al cierre)</t>
        </is>
      </c>
      <c r="H101" s="10" t="inlineStr">
        <is>
          <t>14752026974205 (2025)</t>
        </is>
      </c>
      <c r="I101" s="10" t="inlineStr">
        <is>
          <t>No</t>
        </is>
      </c>
      <c r="J101" s="10" t="inlineStr">
        <is>
          <t>≥ 0</t>
        </is>
      </c>
      <c r="K101" s="10" t="inlineStr">
        <is>
          <t>Pública</t>
        </is>
      </c>
      <c r="L101" s="10" t="inlineStr">
        <is>
          <t>Punto de miles → entero; suma</t>
        </is>
      </c>
      <c r="M101" s="10" t="inlineStr">
        <is>
          <t>P2 · ¿Cómo gasta la Ciudad su presupuesto y cuánto vale en pesos de hoy?</t>
        </is>
      </c>
    </row>
    <row r="102">
      <c r="A102" s="10" t="inlineStr">
        <is>
          <t>F06, F07</t>
        </is>
      </c>
      <c r="B102" s="10" t="inlineStr">
        <is>
          <t>lago/municipio.json · desgloses</t>
        </is>
      </c>
      <c r="C102" s="10" t="inlineStr">
        <is>
          <t>devengado_por_finalidad_&lt;año&gt;  ⟵ devengado_por_finalidad_2025, devengado_por_finalidad_2026</t>
        </is>
      </c>
      <c r="D102" s="10" t="inlineStr">
        <is>
          <t>Desc_Fin</t>
        </is>
      </c>
      <c r="E102" s="10" t="inlineStr">
        <is>
          <t>Gasto devengado por finalidad (social, seguridad…) (desglose [categoría, valor])</t>
        </is>
      </c>
      <c r="F102" s="10" t="inlineStr">
        <is>
          <t>Entero</t>
        </is>
      </c>
      <c r="G102" s="10" t="inlineStr">
        <is>
          <t>pesos corrientes devengados (acumulado a 2025-12)</t>
        </is>
      </c>
      <c r="H102" s="10" t="inlineStr">
        <is>
          <t>["Servicios Sociales", 8537191963552]</t>
        </is>
      </c>
      <c r="I102" s="10" t="inlineStr">
        <is>
          <t>No</t>
        </is>
      </c>
      <c r="J102" s="10" t="inlineStr">
        <is>
          <t>≥ 0</t>
        </is>
      </c>
      <c r="K102" s="10" t="inlineStr">
        <is>
          <t>Pública</t>
        </is>
      </c>
      <c r="L102" s="10" t="inlineStr">
        <is>
          <t>Suma por finalidad</t>
        </is>
      </c>
      <c r="M102" s="10" t="inlineStr">
        <is>
          <t>P2 · ¿Cómo gasta la Ciudad su presupuesto y cuánto vale en pesos de hoy?</t>
        </is>
      </c>
    </row>
    <row r="103">
      <c r="A103" s="10" t="inlineStr">
        <is>
          <t>F06</t>
        </is>
      </c>
      <c r="B103" s="10" t="inlineStr">
        <is>
          <t>lago/municipio.json · desgloses</t>
        </is>
      </c>
      <c r="C103" s="10" t="inlineStr">
        <is>
          <t>devengado_por_jurisdiccion_2026</t>
        </is>
      </c>
      <c r="D103" s="10" t="inlineStr">
        <is>
          <t>Desc_Jur</t>
        </is>
      </c>
      <c r="E103" s="10" t="inlineStr">
        <is>
          <t>Gasto devengado por ministerio u organismo (desglose [categoría, valor])</t>
        </is>
      </c>
      <c r="F103" s="10" t="inlineStr">
        <is>
          <t>Entero</t>
        </is>
      </c>
      <c r="G103" s="10" t="inlineStr">
        <is>
          <t>pesos corrientes devengados (acumulado a 2026-06)</t>
        </is>
      </c>
      <c r="H103" s="10" t="inlineStr">
        <is>
          <t>["Ministerio De Educación", 1483262844318]</t>
        </is>
      </c>
      <c r="I103" s="10" t="inlineStr">
        <is>
          <t>No</t>
        </is>
      </c>
      <c r="J103" s="10" t="inlineStr">
        <is>
          <t>≥ 0</t>
        </is>
      </c>
      <c r="K103" s="10" t="inlineStr">
        <is>
          <t>Pública</t>
        </is>
      </c>
      <c r="L103" s="10" t="inlineStr">
        <is>
          <t>Suma por jurisdicción</t>
        </is>
      </c>
      <c r="M103" s="10" t="inlineStr">
        <is>
          <t>P2 · ¿Cómo gasta la Ciudad su presupuesto y cuánto vale en pesos de hoy?</t>
        </is>
      </c>
    </row>
    <row r="104">
      <c r="A104" s="10" t="inlineStr">
        <is>
          <t>F06</t>
        </is>
      </c>
      <c r="B104" s="10" t="inlineStr">
        <is>
          <t>lago/municipio.json · desgloses</t>
        </is>
      </c>
      <c r="C104" s="10" t="inlineStr">
        <is>
          <t>devengado_por_ubicacion_2026</t>
        </is>
      </c>
      <c r="D104" s="10" t="inlineStr">
        <is>
          <t>Desc_Geo</t>
        </is>
      </c>
      <c r="E104" s="10" t="inlineStr">
        <is>
          <t>Gasto devengado por ubicación geográfica imputada (desglose [categoría, valor])</t>
        </is>
      </c>
      <c r="F104" s="10" t="inlineStr">
        <is>
          <t>Entero</t>
        </is>
      </c>
      <c r="G104" s="10" t="inlineStr">
        <is>
          <t>pesos corrientes devengados (acumulado a 2026-06)</t>
        </is>
      </c>
      <c r="H104" s="10" t="inlineStr">
        <is>
          <t>["Comuna 4", 2805667144496]</t>
        </is>
      </c>
      <c r="I104" s="10" t="inlineStr">
        <is>
          <t>No</t>
        </is>
      </c>
      <c r="J104" s="10" t="inlineStr">
        <is>
          <t>≥ 0</t>
        </is>
      </c>
      <c r="K104" s="10" t="inlineStr">
        <is>
          <t>Pública</t>
        </is>
      </c>
      <c r="L104" s="10" t="inlineStr">
        <is>
          <t>Suma; no es gasto «en» el barrio</t>
        </is>
      </c>
      <c r="M104" s="10" t="inlineStr">
        <is>
          <t>P2 · ¿Cómo gasta la Ciudad su presupuesto y cuánto vale en pesos de hoy?</t>
        </is>
      </c>
    </row>
    <row r="105">
      <c r="A105" s="10" t="inlineStr">
        <is>
          <t>F20</t>
        </is>
      </c>
      <c r="B105" s="10" t="inlineStr">
        <is>
          <t>lago/residuos.json · cifras</t>
        </is>
      </c>
      <c r="C105" s="10" t="inlineStr">
        <is>
          <t>puntos_verdes</t>
        </is>
      </c>
      <c r="D105" s="10" t="inlineStr">
        <is>
          <t>id</t>
        </is>
      </c>
      <c r="E105" s="10" t="inlineStr">
        <is>
          <t>Puntos verdes de reciclaje listados</t>
        </is>
      </c>
      <c r="F105" s="10" t="inlineStr">
        <is>
          <t>Entero</t>
        </is>
      </c>
      <c r="G105" s="10" t="inlineStr">
        <is>
          <t>puntos verdes</t>
        </is>
      </c>
      <c r="H105" s="10" t="inlineStr">
        <is>
          <t>17 (2026-10)</t>
        </is>
      </c>
      <c r="I105" s="10" t="inlineStr">
        <is>
          <t>No</t>
        </is>
      </c>
      <c r="J105" s="10" t="inlineStr">
        <is>
          <t>≥ 0</t>
        </is>
      </c>
      <c r="K105" s="10" t="inlineStr">
        <is>
          <t>Pública</t>
        </is>
      </c>
      <c r="L105" s="10" t="inlineStr">
        <is>
          <t>Conteo de filas</t>
        </is>
      </c>
      <c r="M105" s="10" t="inlineStr">
        <is>
          <t>P5 · ¿Qué hay construido, cuánto verde queda y cómo está el ambiente?</t>
        </is>
      </c>
    </row>
    <row r="106">
      <c r="A106" s="10" t="inlineStr">
        <is>
          <t>F20</t>
        </is>
      </c>
      <c r="B106" s="10" t="inlineStr">
        <is>
          <t>lago/residuos.json · cifras</t>
        </is>
      </c>
      <c r="C106" s="10" t="inlineStr">
        <is>
          <t>raee_kg_2025</t>
        </is>
      </c>
      <c r="D106" s="10" t="inlineStr">
        <is>
          <t>kilos</t>
        </is>
      </c>
      <c r="E106" s="10" t="inlineStr">
        <is>
          <t>Kilos de aparatos eléctricos y electrónicos recibidos en el año</t>
        </is>
      </c>
      <c r="F106" s="10" t="inlineStr">
        <is>
          <t>Entero</t>
        </is>
      </c>
      <c r="G106" s="10" t="inlineStr">
        <is>
          <t>kg de RAEE recibidos en el año</t>
        </is>
      </c>
      <c r="H106" s="10" t="inlineStr">
        <is>
          <t>57040 (2025)</t>
        </is>
      </c>
      <c r="I106" s="10" t="inlineStr">
        <is>
          <t>No</t>
        </is>
      </c>
      <c r="J106" s="10" t="inlineStr">
        <is>
          <t>≥ 0</t>
        </is>
      </c>
      <c r="K106" s="10" t="inlineStr">
        <is>
          <t>Pública</t>
        </is>
      </c>
      <c r="L106" s="10" t="inlineStr">
        <is>
          <t>Coma decimal o de miles por patrón; ilegibles fuera</t>
        </is>
      </c>
      <c r="M106" s="10" t="inlineStr">
        <is>
          <t>P5 · ¿Qué hay construido, cuánto verde queda y cómo está el ambiente?</t>
        </is>
      </c>
    </row>
    <row r="107">
      <c r="A107" s="10" t="inlineStr">
        <is>
          <t>F20</t>
        </is>
      </c>
      <c r="B107" s="10" t="inlineStr">
        <is>
          <t>lago/residuos.json · series</t>
        </is>
      </c>
      <c r="C107" s="10" t="inlineStr">
        <is>
          <t>raee_kg_anual</t>
        </is>
      </c>
      <c r="D107" s="10" t="inlineStr">
        <is>
          <t>año, kilos</t>
        </is>
      </c>
      <c r="E107" s="10" t="inlineStr">
        <is>
          <t>Kilos de RAEE recibidos cada año (serie [periodo, valor])</t>
        </is>
      </c>
      <c r="F107" s="10" t="inlineStr">
        <is>
          <t>Entero</t>
        </is>
      </c>
      <c r="G107" s="10" t="inlineStr">
        <is>
          <t>kg de RAEE recibidos</t>
        </is>
      </c>
      <c r="H107" s="10" t="inlineStr">
        <is>
          <t>["2019", 98622]</t>
        </is>
      </c>
      <c r="I107" s="10" t="inlineStr">
        <is>
          <t>No</t>
        </is>
      </c>
      <c r="J107" s="10" t="inlineStr">
        <is>
          <t>≥ 0</t>
        </is>
      </c>
      <c r="K107" s="10" t="inlineStr">
        <is>
          <t>Pública</t>
        </is>
      </c>
      <c r="L107" s="10" t="inlineStr">
        <is>
          <t>Suma por año</t>
        </is>
      </c>
      <c r="M107" s="10" t="inlineStr">
        <is>
          <t>P5 · ¿Qué hay construido, cuánto verde queda y cómo está el ambiente?</t>
        </is>
      </c>
    </row>
    <row r="108">
      <c r="A108" s="10" t="inlineStr">
        <is>
          <t>F20</t>
        </is>
      </c>
      <c r="B108" s="10" t="inlineStr">
        <is>
          <t>lago/residuos.json · desgloses</t>
        </is>
      </c>
      <c r="C108" s="10" t="inlineStr">
        <is>
          <t>por_barrio</t>
        </is>
      </c>
      <c r="D108" s="10" t="inlineStr">
        <is>
          <t>barrio</t>
        </is>
      </c>
      <c r="E108" s="10" t="inlineStr">
        <is>
          <t>Puntos verdes en cada barrio (desglose [categoría, valor])</t>
        </is>
      </c>
      <c r="F108" s="10" t="inlineStr">
        <is>
          <t>Entero</t>
        </is>
      </c>
      <c r="G108" s="10" t="inlineStr">
        <is>
          <t>puntos verdes</t>
        </is>
      </c>
      <c r="H108" s="10" t="inlineStr">
        <is>
          <t>["CABALLITO", 2]</t>
        </is>
      </c>
      <c r="I108" s="10" t="inlineStr">
        <is>
          <t>No</t>
        </is>
      </c>
      <c r="J108" s="10" t="inlineStr">
        <is>
          <t>≥ 0</t>
        </is>
      </c>
      <c r="K108" s="10" t="inlineStr">
        <is>
          <t>Pública</t>
        </is>
      </c>
      <c r="L108" s="10" t="inlineStr">
        <is>
          <t>Mayúsculas sin tildes; conteo</t>
        </is>
      </c>
      <c r="M108" s="10" t="inlineStr">
        <is>
          <t>P5 · ¿Qué hay construido, cuánto verde queda y cómo está el ambiente?</t>
        </is>
      </c>
    </row>
    <row r="109">
      <c r="A109" s="10" t="inlineStr">
        <is>
          <t>F20</t>
        </is>
      </c>
      <c r="B109" s="10" t="inlineStr">
        <is>
          <t>lago/residuos.json · desgloses</t>
        </is>
      </c>
      <c r="C109" s="10" t="inlineStr">
        <is>
          <t>por_tipo</t>
        </is>
      </c>
      <c r="D109" s="10" t="inlineStr">
        <is>
          <t>tipo</t>
        </is>
      </c>
      <c r="E109" s="10" t="inlineStr">
        <is>
          <t>Puntos verdes por tipo (desglose [categoría, valor])</t>
        </is>
      </c>
      <c r="F109" s="10" t="inlineStr">
        <is>
          <t>Entero</t>
        </is>
      </c>
      <c r="G109" s="10" t="inlineStr">
        <is>
          <t>puntos verdes</t>
        </is>
      </c>
      <c r="H109" s="10" t="inlineStr">
        <is>
          <t>["Con Atención", 17]</t>
        </is>
      </c>
      <c r="I109" s="10" t="inlineStr">
        <is>
          <t>No</t>
        </is>
      </c>
      <c r="J109" s="10" t="inlineStr">
        <is>
          <t>≥ 0</t>
        </is>
      </c>
      <c r="K109" s="10" t="inlineStr">
        <is>
          <t>Pública</t>
        </is>
      </c>
      <c r="L109" s="10" t="inlineStr">
        <is>
          <t>Conteo</t>
        </is>
      </c>
      <c r="M109" s="10" t="inlineStr">
        <is>
          <t>P5 · ¿Qué hay construido, cuánto verde queda y cómo está el ambiente?</t>
        </is>
      </c>
    </row>
    <row r="110">
      <c r="A110" s="10" t="inlineStr">
        <is>
          <t>F23</t>
        </is>
      </c>
      <c r="B110" s="10" t="inlineStr">
        <is>
          <t>lago/salud.json · cifras</t>
        </is>
      </c>
      <c r="C110" s="10" t="inlineStr">
        <is>
          <t>cesac</t>
        </is>
      </c>
      <c r="D110" s="10" t="inlineStr">
        <is>
          <t>id</t>
        </is>
      </c>
      <c r="E110" s="10" t="inlineStr">
        <is>
          <t>Centros de Salud y Acción Comunitaria (atención primaria)</t>
        </is>
      </c>
      <c r="F110" s="10" t="inlineStr">
        <is>
          <t>Entero</t>
        </is>
      </c>
      <c r="G110" s="10" t="inlineStr">
        <is>
          <t>Centros de Salud y Acción Comunitaria</t>
        </is>
      </c>
      <c r="H110" s="10" t="inlineStr">
        <is>
          <t>50 (2026-10)</t>
        </is>
      </c>
      <c r="I110" s="10" t="inlineStr">
        <is>
          <t>No</t>
        </is>
      </c>
      <c r="J110" s="10" t="inlineStr">
        <is>
          <t>≥ 0</t>
        </is>
      </c>
      <c r="K110" s="10" t="inlineStr">
        <is>
          <t>Pública</t>
        </is>
      </c>
      <c r="L110" s="10" t="inlineStr">
        <is>
          <t>Conteo de filas</t>
        </is>
      </c>
      <c r="M110" s="10" t="inlineStr">
        <is>
          <t>P1 · ¿Cuánta gente vive en cada barrio y qué servicios de salud, educación y cultura tiene cerca?</t>
        </is>
      </c>
    </row>
    <row r="111">
      <c r="A111" s="10" t="inlineStr">
        <is>
          <t>F22</t>
        </is>
      </c>
      <c r="B111" s="10" t="inlineStr">
        <is>
          <t>lago/salud.json · cifras</t>
        </is>
      </c>
      <c r="C111" s="10" t="inlineStr">
        <is>
          <t>registros</t>
        </is>
      </c>
      <c r="D111" s="10" t="inlineStr">
        <is>
          <t>fna</t>
        </is>
      </c>
      <c r="E111" s="10" t="inlineStr">
        <is>
          <t>Hospitales públicos de la Ciudad</t>
        </is>
      </c>
      <c r="F111" s="10" t="inlineStr">
        <is>
          <t>Entero</t>
        </is>
      </c>
      <c r="G111" s="10" t="inlineStr">
        <is>
          <t>hospitales públicos</t>
        </is>
      </c>
      <c r="H111" s="10" t="inlineStr">
        <is>
          <t>36 (2026-10)</t>
        </is>
      </c>
      <c r="I111" s="10" t="inlineStr">
        <is>
          <t>No</t>
        </is>
      </c>
      <c r="J111" s="10" t="inlineStr">
        <is>
          <t>≥ 0</t>
        </is>
      </c>
      <c r="K111" s="10" t="inlineStr">
        <is>
          <t>Pública</t>
        </is>
      </c>
      <c r="L111" s="10" t="inlineStr">
        <is>
          <t>Conteo de filas</t>
        </is>
      </c>
      <c r="M111" s="10" t="inlineStr">
        <is>
          <t>P1 · ¿Cuánta gente vive en cada barrio y qué servicios de salud, educación y cultura tiene cerca?</t>
        </is>
      </c>
    </row>
    <row r="112">
      <c r="A112" s="10" t="inlineStr">
        <is>
          <t>F23</t>
        </is>
      </c>
      <c r="B112" s="10" t="inlineStr">
        <is>
          <t>lago/salud.json · desgloses</t>
        </is>
      </c>
      <c r="C112" s="10" t="inlineStr">
        <is>
          <t>cesac_por_area_programatica</t>
        </is>
      </c>
      <c r="D112" s="10" t="inlineStr">
        <is>
          <t>area_progr</t>
        </is>
      </c>
      <c r="E112" s="10" t="inlineStr">
        <is>
          <t>CESAC por hospital del que dependen (desglose [categoría, valor])</t>
        </is>
      </c>
      <c r="F112" s="10" t="inlineStr">
        <is>
          <t>Entero</t>
        </is>
      </c>
      <c r="G112" s="10" t="inlineStr">
        <is>
          <t>CESAC</t>
        </is>
      </c>
      <c r="H112" s="10" t="inlineStr">
        <is>
          <t>["Hospital General de Agudos P. Piñero", 10]</t>
        </is>
      </c>
      <c r="I112" s="10" t="inlineStr">
        <is>
          <t>No</t>
        </is>
      </c>
      <c r="J112" s="10" t="inlineStr">
        <is>
          <t>≥ 0</t>
        </is>
      </c>
      <c r="K112" s="10" t="inlineStr">
        <is>
          <t>Pública</t>
        </is>
      </c>
      <c r="L112" s="10" t="inlineStr">
        <is>
          <t>Conteo</t>
        </is>
      </c>
      <c r="M112" s="10" t="inlineStr">
        <is>
          <t>P1 · ¿Cuánta gente vive en cada barrio y qué servicios de salud, educación y cultura tiene cerca?</t>
        </is>
      </c>
    </row>
    <row r="113">
      <c r="A113" s="10" t="inlineStr">
        <is>
          <t>F23</t>
        </is>
      </c>
      <c r="B113" s="10" t="inlineStr">
        <is>
          <t>lago/salud.json · desgloses</t>
        </is>
      </c>
      <c r="C113" s="10" t="inlineStr">
        <is>
          <t>cesac_por_barrio</t>
        </is>
      </c>
      <c r="D113" s="10" t="inlineStr">
        <is>
          <t>barrio</t>
        </is>
      </c>
      <c r="E113" s="10" t="inlineStr">
        <is>
          <t>CESAC en cada barrio (desglose [categoría, valor])</t>
        </is>
      </c>
      <c r="F113" s="10" t="inlineStr">
        <is>
          <t>Entero</t>
        </is>
      </c>
      <c r="G113" s="10" t="inlineStr">
        <is>
          <t>CESAC</t>
        </is>
      </c>
      <c r="H113" s="10" t="inlineStr">
        <is>
          <t>["BARRACAS", 8]</t>
        </is>
      </c>
      <c r="I113" s="10" t="inlineStr">
        <is>
          <t>No</t>
        </is>
      </c>
      <c r="J113" s="10" t="inlineStr">
        <is>
          <t>≥ 0</t>
        </is>
      </c>
      <c r="K113" s="10" t="inlineStr">
        <is>
          <t>Pública</t>
        </is>
      </c>
      <c r="L113" s="10" t="inlineStr">
        <is>
          <t>Mayúsculas sin tildes; conteo</t>
        </is>
      </c>
      <c r="M113" s="10" t="inlineStr">
        <is>
          <t>P1 · ¿Cuánta gente vive en cada barrio y qué servicios de salud, educación y cultura tiene cerca?</t>
        </is>
      </c>
    </row>
    <row r="114">
      <c r="A114" s="10" t="inlineStr">
        <is>
          <t>F22</t>
        </is>
      </c>
      <c r="B114" s="10" t="inlineStr">
        <is>
          <t>lago/salud.json · desgloses</t>
        </is>
      </c>
      <c r="C114" s="10" t="inlineStr">
        <is>
          <t>por_barrio</t>
        </is>
      </c>
      <c r="D114" s="10" t="inlineStr">
        <is>
          <t>bar</t>
        </is>
      </c>
      <c r="E114" s="10" t="inlineStr">
        <is>
          <t>Hospitales en cada barrio (desglose [categoría, valor])</t>
        </is>
      </c>
      <c r="F114" s="10" t="inlineStr">
        <is>
          <t>Entero</t>
        </is>
      </c>
      <c r="G114" s="10" t="inlineStr">
        <is>
          <t>hospitales</t>
        </is>
      </c>
      <c r="H114" s="10" t="inlineStr">
        <is>
          <t>["BARRACAS", 6]</t>
        </is>
      </c>
      <c r="I114" s="10" t="inlineStr">
        <is>
          <t>No</t>
        </is>
      </c>
      <c r="J114" s="10" t="inlineStr">
        <is>
          <t>≥ 0</t>
        </is>
      </c>
      <c r="K114" s="10" t="inlineStr">
        <is>
          <t>Pública</t>
        </is>
      </c>
      <c r="L114" s="10" t="inlineStr">
        <is>
          <t>Mayúsculas sin tildes; conteo</t>
        </is>
      </c>
      <c r="M114" s="10" t="inlineStr">
        <is>
          <t>P1 · ¿Cuánta gente vive en cada barrio y qué servicios de salud, educación y cultura tiene cerca?</t>
        </is>
      </c>
    </row>
    <row r="115">
      <c r="A115" s="10" t="inlineStr">
        <is>
          <t>F22</t>
        </is>
      </c>
      <c r="B115" s="10" t="inlineStr">
        <is>
          <t>lago/salud.json · desgloses</t>
        </is>
      </c>
      <c r="C115" s="10" t="inlineStr">
        <is>
          <t>por_especialidad</t>
        </is>
      </c>
      <c r="D115" s="10" t="inlineStr">
        <is>
          <t>esp</t>
        </is>
      </c>
      <c r="E115" s="10" t="inlineStr">
        <is>
          <t>Hospitales por especialidad (desglose [categoría, valor])</t>
        </is>
      </c>
      <c r="F115" s="10" t="inlineStr">
        <is>
          <t>Entero</t>
        </is>
      </c>
      <c r="G115" s="10" t="inlineStr">
        <is>
          <t>hospitales</t>
        </is>
      </c>
      <c r="H115" s="10" t="inlineStr">
        <is>
          <t>["Basicas - Criticas - Otras", 13]</t>
        </is>
      </c>
      <c r="I115" s="10" t="inlineStr">
        <is>
          <t>No</t>
        </is>
      </c>
      <c r="J115" s="10" t="inlineStr">
        <is>
          <t>≥ 0</t>
        </is>
      </c>
      <c r="K115" s="10" t="inlineStr">
        <is>
          <t>Pública</t>
        </is>
      </c>
      <c r="L115" s="10" t="inlineStr">
        <is>
          <t>Conteo</t>
        </is>
      </c>
      <c r="M115" s="10" t="inlineStr">
        <is>
          <t>P1 · ¿Cuánta gente vive en cada barrio y qué servicios de salud, educación y cultura tiene cerca?</t>
        </is>
      </c>
    </row>
    <row r="116">
      <c r="A116" s="10" t="inlineStr">
        <is>
          <t>F22</t>
        </is>
      </c>
      <c r="B116" s="10" t="inlineStr">
        <is>
          <t>lago/salud.json · desgloses</t>
        </is>
      </c>
      <c r="C116" s="10" t="inlineStr">
        <is>
          <t>por_tipo</t>
        </is>
      </c>
      <c r="D116" s="10" t="inlineStr">
        <is>
          <t>gna</t>
        </is>
      </c>
      <c r="E116" s="10" t="inlineStr">
        <is>
          <t>Hospitales por tipo (agudos, especializado, niños) (desglose [categoría, valor])</t>
        </is>
      </c>
      <c r="F116" s="10" t="inlineStr">
        <is>
          <t>Entero</t>
        </is>
      </c>
      <c r="G116" s="10" t="inlineStr">
        <is>
          <t>hospitales</t>
        </is>
      </c>
      <c r="H116" s="10" t="inlineStr">
        <is>
          <t>["Hospital Especializado", 19]</t>
        </is>
      </c>
      <c r="I116" s="10" t="inlineStr">
        <is>
          <t>No</t>
        </is>
      </c>
      <c r="J116" s="10" t="inlineStr">
        <is>
          <t>≥ 0</t>
        </is>
      </c>
      <c r="K116" s="10" t="inlineStr">
        <is>
          <t>Pública</t>
        </is>
      </c>
      <c r="L116" s="10" t="inlineStr">
        <is>
          <t>Conteo</t>
        </is>
      </c>
      <c r="M116" s="10" t="inlineStr">
        <is>
          <t>P1 · ¿Cuánta gente vive en cada barrio y qué servicios de salud, educación y cultura tiene cerca?</t>
        </is>
      </c>
    </row>
    <row r="117">
      <c r="A117" s="10" t="inlineStr">
        <is>
          <t>F05</t>
        </is>
      </c>
      <c r="B117" s="10" t="inlineStr">
        <is>
          <t>lago/seguridad.json · cifras</t>
        </is>
      </c>
      <c r="C117" s="10" t="inlineStr">
        <is>
          <t>delitos_&lt;año&gt;  ⟵ delitos_2024, delitos_2025</t>
        </is>
      </c>
      <c r="D117" s="10" t="inlineStr">
        <is>
          <t>cantidad</t>
        </is>
      </c>
      <c r="E117" s="10" t="inlineStr">
        <is>
          <t>Delitos registrados en el año</t>
        </is>
      </c>
      <c r="F117" s="10" t="inlineStr">
        <is>
          <t>Entero</t>
        </is>
      </c>
      <c r="G117" s="10" t="inlineStr">
        <is>
          <t>delitos registrados</t>
        </is>
      </c>
      <c r="H117" s="10" t="inlineStr">
        <is>
          <t>158838 (2024)</t>
        </is>
      </c>
      <c r="I117" s="10" t="inlineStr">
        <is>
          <t>No</t>
        </is>
      </c>
      <c r="J117" s="10" t="inlineStr">
        <is>
          <t>≥ 0</t>
        </is>
      </c>
      <c r="K117" s="10" t="inlineStr">
        <is>
          <t>Pública</t>
        </is>
      </c>
      <c r="L117" s="10" t="inlineStr">
        <is>
          <t>Suma de cantidad</t>
        </is>
      </c>
      <c r="M117" s="10" t="inlineStr">
        <is>
          <t>P3 · ¿Qué pasa con la seguridad en cada barrio?</t>
        </is>
      </c>
    </row>
    <row r="118">
      <c r="A118" s="10" t="inlineStr">
        <is>
          <t>F05</t>
        </is>
      </c>
      <c r="B118" s="10" t="inlineStr">
        <is>
          <t>lago/seguridad.json · cifras</t>
        </is>
      </c>
      <c r="C118" s="10" t="inlineStr">
        <is>
          <t>meses_con_datos_&lt;año&gt;  ⟵ meses_con_datos_2024, meses_con_datos_2025</t>
        </is>
      </c>
      <c r="D118" s="10" t="inlineStr">
        <is>
          <t>mes</t>
        </is>
      </c>
      <c r="E118" s="10" t="inlineStr">
        <is>
          <t>Meses con datos en el año (12 = año completo)</t>
        </is>
      </c>
      <c r="F118" s="10" t="inlineStr">
        <is>
          <t>Entero</t>
        </is>
      </c>
      <c r="G118" s="10" t="inlineStr">
        <is>
          <t>meses</t>
        </is>
      </c>
      <c r="H118" s="10" t="inlineStr">
        <is>
          <t>12 (2024)</t>
        </is>
      </c>
      <c r="I118" s="10" t="inlineStr">
        <is>
          <t>No</t>
        </is>
      </c>
      <c r="J118" s="10" t="inlineStr">
        <is>
          <t>≥ 0</t>
        </is>
      </c>
      <c r="K118" s="10" t="inlineStr">
        <is>
          <t>Pública</t>
        </is>
      </c>
      <c r="L118" s="10" t="inlineStr">
        <is>
          <t>Conteo de meses distintos</t>
        </is>
      </c>
      <c r="M118" s="10" t="inlineStr">
        <is>
          <t>P3 · ¿Qué pasa con la seguridad en cada barrio?</t>
        </is>
      </c>
    </row>
    <row r="119">
      <c r="A119" s="10" t="inlineStr">
        <is>
          <t>F05</t>
        </is>
      </c>
      <c r="B119" s="10" t="inlineStr">
        <is>
          <t>lago/seguridad.json · series</t>
        </is>
      </c>
      <c r="C119" s="10" t="inlineStr">
        <is>
          <t>delitos_mensuales_&lt;año&gt;  ⟵ delitos_mensuales_2024, delitos_mensuales_2025</t>
        </is>
      </c>
      <c r="D119" s="10" t="inlineStr">
        <is>
          <t>mes, cantidad</t>
        </is>
      </c>
      <c r="E119" s="10" t="inlineStr">
        <is>
          <t>Delitos registrados mes a mes (serie [periodo, valor])</t>
        </is>
      </c>
      <c r="F119" s="10" t="inlineStr">
        <is>
          <t>Entero</t>
        </is>
      </c>
      <c r="G119" s="10" t="inlineStr">
        <is>
          <t>delitos registrados</t>
        </is>
      </c>
      <c r="H119" s="10" t="inlineStr">
        <is>
          <t>["2024-01", 13626]</t>
        </is>
      </c>
      <c r="I119" s="10" t="inlineStr">
        <is>
          <t>No</t>
        </is>
      </c>
      <c r="J119" s="10" t="inlineStr">
        <is>
          <t>≥ 0</t>
        </is>
      </c>
      <c r="K119" s="10" t="inlineStr">
        <is>
          <t>Pública</t>
        </is>
      </c>
      <c r="L119" s="10" t="inlineStr">
        <is>
          <t>Mes en letras → AAAA-MM; suma</t>
        </is>
      </c>
      <c r="M119" s="10" t="inlineStr">
        <is>
          <t>P3 · ¿Qué pasa con la seguridad en cada barrio?</t>
        </is>
      </c>
    </row>
    <row r="120">
      <c r="A120" s="10" t="inlineStr">
        <is>
          <t>F05</t>
        </is>
      </c>
      <c r="B120" s="10" t="inlineStr">
        <is>
          <t>lago/seguridad.json · desgloses</t>
        </is>
      </c>
      <c r="C120" s="10" t="inlineStr">
        <is>
          <t>por_barrio_&lt;año&gt;  ⟵ por_barrio_2024, por_barrio_2025</t>
        </is>
      </c>
      <c r="D120" s="10" t="inlineStr">
        <is>
          <t>barrio, cantidad</t>
        </is>
      </c>
      <c r="E120" s="10" t="inlineStr">
        <is>
          <t>Delitos registrados en cada barrio (desglose [categoría, valor])</t>
        </is>
      </c>
      <c r="F120" s="10" t="inlineStr">
        <is>
          <t>Entero</t>
        </is>
      </c>
      <c r="G120" s="10" t="inlineStr">
        <is>
          <t>delitos registrados</t>
        </is>
      </c>
      <c r="H120" s="10" t="inlineStr">
        <is>
          <t>["PALERMO", 12794]</t>
        </is>
      </c>
      <c r="I120" s="10" t="inlineStr">
        <is>
          <t>No</t>
        </is>
      </c>
      <c r="J120" s="10" t="inlineStr">
        <is>
          <t>≥ 0</t>
        </is>
      </c>
      <c r="K120" s="10" t="inlineStr">
        <is>
          <t>Pública</t>
        </is>
      </c>
      <c r="L120" s="10" t="inlineStr">
        <is>
          <t>Mayúsculas; suma</t>
        </is>
      </c>
      <c r="M120" s="10" t="inlineStr">
        <is>
          <t>P3 · ¿Qué pasa con la seguridad en cada barrio?</t>
        </is>
      </c>
    </row>
    <row r="121">
      <c r="A121" s="10" t="inlineStr">
        <is>
          <t>F05</t>
        </is>
      </c>
      <c r="B121" s="10" t="inlineStr">
        <is>
          <t>lago/seguridad.json · desgloses</t>
        </is>
      </c>
      <c r="C121" s="10" t="inlineStr">
        <is>
          <t>por_tipo_&lt;año&gt;  ⟵ por_tipo_2024, por_tipo_2025</t>
        </is>
      </c>
      <c r="D121" s="10" t="inlineStr">
        <is>
          <t>tipo, cantidad</t>
        </is>
      </c>
      <c r="E121" s="10" t="inlineStr">
        <is>
          <t>Delitos por tipo (robo, hurto, lesiones…) (desglose [categoría, valor])</t>
        </is>
      </c>
      <c r="F121" s="10" t="inlineStr">
        <is>
          <t>Entero</t>
        </is>
      </c>
      <c r="G121" s="10" t="inlineStr">
        <is>
          <t>delitos registrados</t>
        </is>
      </c>
      <c r="H121" s="10" t="inlineStr">
        <is>
          <t>["Robo", 68392]</t>
        </is>
      </c>
      <c r="I121" s="10" t="inlineStr">
        <is>
          <t>No</t>
        </is>
      </c>
      <c r="J121" s="10" t="inlineStr">
        <is>
          <t>≥ 0</t>
        </is>
      </c>
      <c r="K121" s="10" t="inlineStr">
        <is>
          <t>Pública</t>
        </is>
      </c>
      <c r="L121" s="10" t="inlineStr">
        <is>
          <t>Suma</t>
        </is>
      </c>
      <c r="M121" s="10" t="inlineStr">
        <is>
          <t>P3 · ¿Qué pasa con la seguridad en cada barrio?</t>
        </is>
      </c>
    </row>
    <row r="122">
      <c r="A122" s="10" t="inlineStr">
        <is>
          <t>F28</t>
        </is>
      </c>
      <c r="B122" s="10" t="inlineStr">
        <is>
          <t>lago/sensores.json · cifras</t>
        </is>
      </c>
      <c r="C122" s="10" t="inlineStr">
        <is>
          <t>ba_sensores_transito</t>
        </is>
      </c>
      <c r="D122" s="10" t="inlineStr">
        <is>
          <t>id_sensor</t>
        </is>
      </c>
      <c r="E122" s="10" t="inlineStr">
        <is>
          <t>Sensores de tránsito instalados</t>
        </is>
      </c>
      <c r="F122" s="10" t="inlineStr">
        <is>
          <t>Entero</t>
        </is>
      </c>
      <c r="G122" s="10" t="inlineStr">
        <is>
          <t>sensores de tránsito</t>
        </is>
      </c>
      <c r="H122" s="10" t="inlineStr">
        <is>
          <t>52 (2026-06)</t>
        </is>
      </c>
      <c r="I122" s="10" t="inlineStr">
        <is>
          <t>No</t>
        </is>
      </c>
      <c r="J122" s="10" t="inlineStr">
        <is>
          <t>≥ 0</t>
        </is>
      </c>
      <c r="K122" s="10" t="inlineStr">
        <is>
          <t>Pública</t>
        </is>
      </c>
      <c r="L122" s="10" t="inlineStr">
        <is>
          <t>Conteo de filas</t>
        </is>
      </c>
      <c r="M122" s="10" t="inlineStr">
        <is>
          <t>P6 · ¿Cómo se mueve la gente por la Ciudad?</t>
        </is>
      </c>
    </row>
    <row r="123">
      <c r="A123" s="10" t="inlineStr">
        <is>
          <t>F29</t>
        </is>
      </c>
      <c r="B123" s="10" t="inlineStr">
        <is>
          <t>lago/sensores.json · cifras</t>
        </is>
      </c>
      <c r="C123" s="10" t="inlineStr">
        <is>
          <t>ba_tmi</t>
        </is>
      </c>
      <c r="D123" s="10" t="inlineStr">
        <is>
          <t>tmi</t>
        </is>
      </c>
      <c r="E123" s="10" t="inlineStr">
        <is>
          <t>Torres de monitoreo inteligente</t>
        </is>
      </c>
      <c r="F123" s="10" t="inlineStr">
        <is>
          <t>Entero</t>
        </is>
      </c>
      <c r="G123" s="10" t="inlineStr">
        <is>
          <t>torres de monitoreo inteligente</t>
        </is>
      </c>
      <c r="H123" s="10" t="inlineStr">
        <is>
          <t>16 (2026-06)</t>
        </is>
      </c>
      <c r="I123" s="10" t="inlineStr">
        <is>
          <t>No</t>
        </is>
      </c>
      <c r="J123" s="10" t="inlineStr">
        <is>
          <t>≥ 0</t>
        </is>
      </c>
      <c r="K123" s="10" t="inlineStr">
        <is>
          <t>Pública</t>
        </is>
      </c>
      <c r="L123" s="10" t="inlineStr">
        <is>
          <t>Conteo de filas</t>
        </is>
      </c>
      <c r="M123" s="10" t="inlineStr">
        <is>
          <t>P6 · ¿Cómo se mueve la gente por la Ciudad?</t>
        </is>
      </c>
    </row>
    <row r="124">
      <c r="A124" s="10" t="inlineStr">
        <is>
          <t>F28</t>
        </is>
      </c>
      <c r="B124" s="10" t="inlineStr">
        <is>
          <t>lago/sensores.json · desgloses</t>
        </is>
      </c>
      <c r="C124" s="10" t="inlineStr">
        <is>
          <t>ba_sensores_transito_por_comuna</t>
        </is>
      </c>
      <c r="D124" s="10" t="inlineStr">
        <is>
          <t>comuna</t>
        </is>
      </c>
      <c r="E124" s="10" t="inlineStr">
        <is>
          <t>Sensores de tránsito por comuna (desglose [categoría, valor])</t>
        </is>
      </c>
      <c r="F124" s="10" t="inlineStr">
        <is>
          <t>Entero</t>
        </is>
      </c>
      <c r="G124" s="10" t="inlineStr">
        <is>
          <t>sensores de tránsito</t>
        </is>
      </c>
      <c r="H124" s="10" t="inlineStr">
        <is>
          <t>["1", 14]</t>
        </is>
      </c>
      <c r="I124" s="10" t="inlineStr">
        <is>
          <t>No</t>
        </is>
      </c>
      <c r="J124" s="10" t="inlineStr">
        <is>
          <t>≥ 0</t>
        </is>
      </c>
      <c r="K124" s="10" t="inlineStr">
        <is>
          <t>Pública</t>
        </is>
      </c>
      <c r="L124" s="10" t="inlineStr">
        <is>
          <t>Conteo</t>
        </is>
      </c>
      <c r="M124" s="10" t="inlineStr">
        <is>
          <t>P6 · ¿Cómo se mueve la gente por la Ciudad?</t>
        </is>
      </c>
    </row>
    <row r="125">
      <c r="A125" s="10" t="inlineStr">
        <is>
          <t>F29</t>
        </is>
      </c>
      <c r="B125" s="10" t="inlineStr">
        <is>
          <t>lago/sensores.json · desgloses</t>
        </is>
      </c>
      <c r="C125" s="10" t="inlineStr">
        <is>
          <t>ba_tmi_por_comuna</t>
        </is>
      </c>
      <c r="D125" s="10" t="inlineStr">
        <is>
          <t>comuna</t>
        </is>
      </c>
      <c r="E125" s="10" t="inlineStr">
        <is>
          <t>Torres de monitoreo por comuna (desglose [categoría, valor])</t>
        </is>
      </c>
      <c r="F125" s="10" t="inlineStr">
        <is>
          <t>Entero</t>
        </is>
      </c>
      <c r="G125" s="10" t="inlineStr">
        <is>
          <t>torres de monitoreo inteligente</t>
        </is>
      </c>
      <c r="H125" s="10" t="inlineStr">
        <is>
          <t>["9", 3]</t>
        </is>
      </c>
      <c r="I125" s="10" t="inlineStr">
        <is>
          <t>No</t>
        </is>
      </c>
      <c r="J125" s="10" t="inlineStr">
        <is>
          <t>≥ 0</t>
        </is>
      </c>
      <c r="K125" s="10" t="inlineStr">
        <is>
          <t>Pública</t>
        </is>
      </c>
      <c r="L125" s="10" t="inlineStr">
        <is>
          <t>Conteo</t>
        </is>
      </c>
      <c r="M125" s="10" t="inlineStr">
        <is>
          <t>P6 · ¿Cómo se mueve la gente por la Ciudad?</t>
        </is>
      </c>
    </row>
    <row r="126">
      <c r="A126" s="10" t="inlineStr">
        <is>
          <t>F25</t>
        </is>
      </c>
      <c r="B126" s="10" t="inlineStr">
        <is>
          <t>lago/subte_molinetes.json · cifras</t>
        </is>
      </c>
      <c r="C126" s="10" t="inlineStr">
        <is>
          <t>lineas</t>
        </is>
      </c>
      <c r="D126" s="10" t="inlineStr">
        <is>
          <t>LINEA</t>
        </is>
      </c>
      <c r="E126" s="10" t="inlineStr">
        <is>
          <t>Líneas con molinetes (A-H y Premetro)</t>
        </is>
      </c>
      <c r="F126" s="10" t="inlineStr">
        <is>
          <t>Entero</t>
        </is>
      </c>
      <c r="G126" s="10" t="inlineStr">
        <is>
          <t>líneas (incluye Premetro PM)</t>
        </is>
      </c>
      <c r="H126" s="10" t="inlineStr">
        <is>
          <t>7 (2025)</t>
        </is>
      </c>
      <c r="I126" s="10" t="inlineStr">
        <is>
          <t>No</t>
        </is>
      </c>
      <c r="J126" s="10" t="inlineStr">
        <is>
          <t>≥ 0</t>
        </is>
      </c>
      <c r="K126" s="10" t="inlineStr">
        <is>
          <t>Pública</t>
        </is>
      </c>
      <c r="L126" s="10" t="inlineStr">
        <is>
          <t>«LineaA» → «A»; sin «Prueba»</t>
        </is>
      </c>
      <c r="M126" s="10" t="inlineStr">
        <is>
          <t>P6 · ¿Cómo se mueve la gente por la Ciudad?</t>
        </is>
      </c>
    </row>
    <row r="127">
      <c r="A127" s="10" t="inlineStr">
        <is>
          <t>F25</t>
        </is>
      </c>
      <c r="B127" s="10" t="inlineStr">
        <is>
          <t>lago/subte_molinetes.json · cifras</t>
        </is>
      </c>
      <c r="C127" s="10" t="inlineStr">
        <is>
          <t>meses_con_datos_2025</t>
        </is>
      </c>
      <c r="D127" s="10" t="inlineStr">
        <is>
          <t>nombre del archivo AAAAMM</t>
        </is>
      </c>
      <c r="E127" s="10" t="inlineStr">
        <is>
          <t>Meses con datos (12 = año completo)</t>
        </is>
      </c>
      <c r="F127" s="10" t="inlineStr">
        <is>
          <t>Entero</t>
        </is>
      </c>
      <c r="G127" s="10" t="inlineStr">
        <is>
          <t>meses</t>
        </is>
      </c>
      <c r="H127" s="10" t="inlineStr">
        <is>
          <t>12 (2025)</t>
        </is>
      </c>
      <c r="I127" s="10" t="inlineStr">
        <is>
          <t>No</t>
        </is>
      </c>
      <c r="J127" s="10" t="inlineStr">
        <is>
          <t>≥ 0</t>
        </is>
      </c>
      <c r="K127" s="10" t="inlineStr">
        <is>
          <t>Pública</t>
        </is>
      </c>
      <c r="L127" s="10" t="inlineStr">
        <is>
          <t>Mes tomado del nombre del archivo</t>
        </is>
      </c>
      <c r="M127" s="10" t="inlineStr">
        <is>
          <t>P6 · ¿Cómo se mueve la gente por la Ciudad?</t>
        </is>
      </c>
    </row>
    <row r="128">
      <c r="A128" s="10" t="inlineStr">
        <is>
          <t>F25</t>
        </is>
      </c>
      <c r="B128" s="10" t="inlineStr">
        <is>
          <t>lago/subte_molinetes.json · cifras</t>
        </is>
      </c>
      <c r="C128" s="10" t="inlineStr">
        <is>
          <t>pasajeros_subte_2025</t>
        </is>
      </c>
      <c r="D128" s="10" t="inlineStr">
        <is>
          <t>pax_TOTAL</t>
        </is>
      </c>
      <c r="E128" s="10" t="inlineStr">
        <is>
          <t>Validaciones en molinetes del subte en el año (sin Premetro)</t>
        </is>
      </c>
      <c r="F128" s="10" t="inlineStr">
        <is>
          <t>Entero</t>
        </is>
      </c>
      <c r="G128" s="10" t="inlineStr">
        <is>
          <t>pasajeros (validaciones en molinetes, líneas A-H)</t>
        </is>
      </c>
      <c r="H128" s="10" t="inlineStr">
        <is>
          <t>206459041 (2025)</t>
        </is>
      </c>
      <c r="I128" s="10" t="inlineStr">
        <is>
          <t>No</t>
        </is>
      </c>
      <c r="J128" s="10" t="inlineStr">
        <is>
          <t>≥ 0</t>
        </is>
      </c>
      <c r="K128" s="10" t="inlineStr">
        <is>
          <t>Pública</t>
        </is>
      </c>
      <c r="L128" s="10" t="inlineStr">
        <is>
          <t>Suma de pax_TOTAL</t>
        </is>
      </c>
      <c r="M128" s="10" t="inlineStr">
        <is>
          <t>P6 · ¿Cómo se mueve la gente por la Ciudad?</t>
        </is>
      </c>
    </row>
    <row r="129">
      <c r="A129" s="10" t="inlineStr">
        <is>
          <t>F25</t>
        </is>
      </c>
      <c r="B129" s="10" t="inlineStr">
        <is>
          <t>lago/subte_molinetes.json · series</t>
        </is>
      </c>
      <c r="C129" s="10" t="inlineStr">
        <is>
          <t>pasajeros_linea_&lt;X&gt;  ⟵ pasajeros_linea_A, pasajeros_linea_B, pasajeros_linea_C, pasajeros_linea_D, pasajeros_linea_E, pasajeros_linea_H, pasajeros_linea_PM</t>
        </is>
      </c>
      <c r="D129" s="10" t="inlineStr">
        <is>
          <t>pax_TOTAL, LINEA</t>
        </is>
      </c>
      <c r="E129" s="10" t="inlineStr">
        <is>
          <t>Validaciones mensuales de cada línea (A, B, C, D, E, H, PM) (serie [periodo, valor])</t>
        </is>
      </c>
      <c r="F129" s="10" t="inlineStr">
        <is>
          <t>Entero</t>
        </is>
      </c>
      <c r="G129" s="10" t="inlineStr">
        <is>
          <t>pasajeros por mes (molinetes)</t>
        </is>
      </c>
      <c r="H129" s="10" t="inlineStr">
        <is>
          <t>["2025-01", 2614441]</t>
        </is>
      </c>
      <c r="I129" s="10" t="inlineStr">
        <is>
          <t>No</t>
        </is>
      </c>
      <c r="J129" s="10" t="inlineStr">
        <is>
          <t>≥ 0</t>
        </is>
      </c>
      <c r="K129" s="10" t="inlineStr">
        <is>
          <t>Pública</t>
        </is>
      </c>
      <c r="L129" s="10" t="inlineStr">
        <is>
          <t>Suma por línea y mes</t>
        </is>
      </c>
      <c r="M129" s="10" t="inlineStr">
        <is>
          <t>P6 · ¿Cómo se mueve la gente por la Ciudad?</t>
        </is>
      </c>
    </row>
    <row r="130">
      <c r="A130" s="10" t="inlineStr">
        <is>
          <t>F25</t>
        </is>
      </c>
      <c r="B130" s="10" t="inlineStr">
        <is>
          <t>lago/subte_molinetes.json · desgloses</t>
        </is>
      </c>
      <c r="C130" s="10" t="inlineStr">
        <is>
          <t>pasajeros_por_barrio_2025</t>
        </is>
      </c>
      <c r="D130" s="10" t="inlineStr">
        <is>
          <t>pax_TOTAL + capa geo</t>
        </is>
      </c>
      <c r="E130" s="10" t="inlineStr">
        <is>
          <t>Validaciones en las estaciones de cada barrio (desglose [categoría, valor])</t>
        </is>
      </c>
      <c r="F130" s="10" t="inlineStr">
        <is>
          <t>Entero</t>
        </is>
      </c>
      <c r="G130" s="10" t="inlineStr">
        <is>
          <t>pasajeros en el año (estaciones ubicadas en el barrio)</t>
        </is>
      </c>
      <c r="H130" s="10" t="inlineStr">
        <is>
          <t>["BALVANERA", 25405142]</t>
        </is>
      </c>
      <c r="I130" s="10" t="inlineStr">
        <is>
          <t>No</t>
        </is>
      </c>
      <c r="J130" s="10" t="inlineStr">
        <is>
          <t>≥ 0</t>
        </is>
      </c>
      <c r="K130" s="10" t="inlineStr">
        <is>
          <t>Pública</t>
        </is>
      </c>
      <c r="L130" s="10" t="inlineStr">
        <is>
          <t>Estación → capa geo → barrio por punto en polígono</t>
        </is>
      </c>
      <c r="M130" s="10" t="inlineStr">
        <is>
          <t>P6 · ¿Cómo se mueve la gente por la Ciudad?</t>
        </is>
      </c>
    </row>
    <row r="131">
      <c r="A131" s="10" t="inlineStr">
        <is>
          <t>F25</t>
        </is>
      </c>
      <c r="B131" s="10" t="inlineStr">
        <is>
          <t>lago/subte_molinetes.json · desgloses</t>
        </is>
      </c>
      <c r="C131" s="10" t="inlineStr">
        <is>
          <t>pasajeros_por_estacion_2025</t>
        </is>
      </c>
      <c r="D131" s="10" t="inlineStr">
        <is>
          <t>ESTACION</t>
        </is>
      </c>
      <c r="E131" s="10" t="inlineStr">
        <is>
          <t>Validaciones por estación, con el nombre del crudo (desglose [categoría, valor])</t>
        </is>
      </c>
      <c r="F131" s="10" t="inlineStr">
        <is>
          <t>Entero</t>
        </is>
      </c>
      <c r="G131" s="10" t="inlineStr">
        <is>
          <t>pasajeros en el año (línea · estación, nombre como viene en el crudo)</t>
        </is>
      </c>
      <c r="H131" s="10" t="inlineStr">
        <is>
          <t>["C · Constitucion", 16491664]</t>
        </is>
      </c>
      <c r="I131" s="10" t="inlineStr">
        <is>
          <t>No</t>
        </is>
      </c>
      <c r="J131" s="10" t="inlineStr">
        <is>
          <t>≥ 0</t>
        </is>
      </c>
      <c r="K131" s="10" t="inlineStr">
        <is>
          <t>Pública</t>
        </is>
      </c>
      <c r="L131" s="10" t="inlineStr">
        <is>
          <t>Suma; #N/D y NULL → sin dato</t>
        </is>
      </c>
      <c r="M131" s="10" t="inlineStr">
        <is>
          <t>P6 · ¿Cómo se mueve la gente por la Ciudad?</t>
        </is>
      </c>
    </row>
    <row r="132">
      <c r="A132" s="10" t="inlineStr">
        <is>
          <t>F25</t>
        </is>
      </c>
      <c r="B132" s="10" t="inlineStr">
        <is>
          <t>lago/subte_molinetes.json · desgloses</t>
        </is>
      </c>
      <c r="C132" s="10" t="inlineStr">
        <is>
          <t>pasajeros_por_estacion_geo_2025</t>
        </is>
      </c>
      <c r="D132" s="10" t="inlineStr">
        <is>
          <t>ESTACION</t>
        </is>
      </c>
      <c r="E132" s="10" t="inlineStr">
        <is>
          <t>Validaciones por estación, con el nombre de la capa geo (desglose [categoría, valor])</t>
        </is>
      </c>
      <c r="F132" s="10" t="inlineStr">
        <is>
          <t>Entero</t>
        </is>
      </c>
      <c r="G132" s="10" t="inlineStr">
        <is>
          <t>pasajeros en el año (línea · estación como en lago/geo/subte_estaciones)</t>
        </is>
      </c>
      <c r="H132" s="10" t="inlineStr">
        <is>
          <t>["C · Constitucion", 16491664]</t>
        </is>
      </c>
      <c r="I132" s="10" t="inlineStr">
        <is>
          <t>No</t>
        </is>
      </c>
      <c r="J132" s="10" t="inlineStr">
        <is>
          <t>≥ 0</t>
        </is>
      </c>
      <c r="K132" s="10" t="inlineStr">
        <is>
          <t>Pública</t>
        </is>
      </c>
      <c r="L132" s="10" t="inlineStr">
        <is>
          <t>Nombres normalizados con alias revisados a mano</t>
        </is>
      </c>
      <c r="M132" s="10" t="inlineStr">
        <is>
          <t>P6 · ¿Cómo se mueve la gente por la Ciudad?</t>
        </is>
      </c>
    </row>
    <row r="133">
      <c r="A133" s="10" t="inlineStr">
        <is>
          <t>F25</t>
        </is>
      </c>
      <c r="B133" s="10" t="inlineStr">
        <is>
          <t>lago/subte_molinetes.json · desgloses</t>
        </is>
      </c>
      <c r="C133" s="10" t="inlineStr">
        <is>
          <t>sin_estacion_geo_2025</t>
        </is>
      </c>
      <c r="D133" s="10" t="inlineStr">
        <is>
          <t>ESTACION</t>
        </is>
      </c>
      <c r="E133" s="10" t="inlineStr">
        <is>
          <t>Validaciones que no se pudieron ubicar en una estación (desglose [categoría, valor])</t>
        </is>
      </c>
      <c r="F133" s="10" t="inlineStr">
        <is>
          <t>Entero</t>
        </is>
      </c>
      <c r="G133" s="10" t="inlineStr">
        <is>
          <t>pasajeros en el año (molinetes sin estación en la capa geo)</t>
        </is>
      </c>
      <c r="H133" s="10" t="inlineStr">
        <is>
          <t>["H · sin dato", 9]</t>
        </is>
      </c>
      <c r="I133" s="10" t="inlineStr">
        <is>
          <t>No</t>
        </is>
      </c>
      <c r="J133" s="10" t="inlineStr">
        <is>
          <t>≥ 0</t>
        </is>
      </c>
      <c r="K133" s="10" t="inlineStr">
        <is>
          <t>Pública</t>
        </is>
      </c>
      <c r="L133" s="10" t="inlineStr">
        <is>
          <t>Lo que no cruzó con la capa geo</t>
        </is>
      </c>
      <c r="M133" s="10" t="inlineStr">
        <is>
          <t>P6 · ¿Cómo se mueve la gente por la Ciudad?</t>
        </is>
      </c>
    </row>
    <row r="134">
      <c r="A134" s="10" t="inlineStr">
        <is>
          <t>F10</t>
        </is>
      </c>
      <c r="B134" s="10" t="inlineStr">
        <is>
          <t>lago/turismo.json · cifras</t>
        </is>
      </c>
      <c r="C134" s="10" t="inlineStr">
        <is>
          <t>alojamientos</t>
        </is>
      </c>
      <c r="D134" s="10" t="inlineStr">
        <is>
          <t>id</t>
        </is>
      </c>
      <c r="E134" s="10" t="inlineStr">
        <is>
          <t>Alojamientos turísticos registrados</t>
        </is>
      </c>
      <c r="F134" s="10" t="inlineStr">
        <is>
          <t>Entero</t>
        </is>
      </c>
      <c r="G134" s="10" t="inlineStr">
        <is>
          <t>alojamientos turísticos</t>
        </is>
      </c>
      <c r="H134" s="10" t="inlineStr">
        <is>
          <t>382 (2026-10)</t>
        </is>
      </c>
      <c r="I134" s="10" t="inlineStr">
        <is>
          <t>No</t>
        </is>
      </c>
      <c r="J134" s="10" t="inlineStr">
        <is>
          <t>≥ 0</t>
        </is>
      </c>
      <c r="K134" s="10" t="inlineStr">
        <is>
          <t>Pública</t>
        </is>
      </c>
      <c r="L134" s="10" t="inlineStr">
        <is>
          <t>Conteo (sin contactos)</t>
        </is>
      </c>
      <c r="M134" s="10" t="inlineStr">
        <is>
          <t>P4 · ¿Cuánto pesan el turismo, el empleo y los precios?</t>
        </is>
      </c>
    </row>
    <row r="135">
      <c r="A135" s="10" t="inlineStr">
        <is>
          <t>F11</t>
        </is>
      </c>
      <c r="B135" s="10" t="inlineStr">
        <is>
          <t>lago/turismo.json · cifras</t>
        </is>
      </c>
      <c r="C135" s="10" t="inlineStr">
        <is>
          <t>ocupacion_plazas_ultimo_mes</t>
        </is>
      </c>
      <c r="D135" s="10" t="inlineStr">
        <is>
          <t>serie eoh_plazas_15</t>
        </is>
      </c>
      <c r="E135" s="10" t="inlineStr">
        <is>
          <t>Porcentaje de plazas hoteleras ocupadas el último mes</t>
        </is>
      </c>
      <c r="F135" s="10" t="inlineStr">
        <is>
          <t>Decimal</t>
        </is>
      </c>
      <c r="G135" s="10" t="inlineStr">
        <is>
          <t>% de plazas ocupadas (hoteles y parahoteles)</t>
        </is>
      </c>
      <c r="H135" s="10" t="inlineStr">
        <is>
          <t>39.0 (2025-08)</t>
        </is>
      </c>
      <c r="I135" s="10" t="inlineStr">
        <is>
          <t>No</t>
        </is>
      </c>
      <c r="J135" s="10" t="inlineStr">
        <is>
          <t>0 a 100</t>
        </is>
      </c>
      <c r="K135" s="10" t="inlineStr">
        <is>
          <t>Pública</t>
        </is>
      </c>
      <c r="L135" s="10" t="inlineStr">
        <is>
          <t>Fracción × 100</t>
        </is>
      </c>
      <c r="M135" s="10" t="inlineStr">
        <is>
          <t>P4 · ¿Cuánto pesan el turismo, el empleo y los precios?</t>
        </is>
      </c>
    </row>
    <row r="136">
      <c r="A136" s="10" t="inlineStr">
        <is>
          <t>F11</t>
        </is>
      </c>
      <c r="B136" s="10" t="inlineStr">
        <is>
          <t>lago/turismo.json · cifras</t>
        </is>
      </c>
      <c r="C136" s="10" t="inlineStr">
        <is>
          <t>pernoctaciones_ultimo_mes</t>
        </is>
      </c>
      <c r="D136" s="10" t="inlineStr">
        <is>
          <t>serie eoh_pern_loc_7</t>
        </is>
      </c>
      <c r="E136" s="10" t="inlineStr">
        <is>
          <t>Noches pasadas por viajeros el último mes</t>
        </is>
      </c>
      <c r="F136" s="10" t="inlineStr">
        <is>
          <t>Entero</t>
        </is>
      </c>
      <c r="G136" s="10" t="inlineStr">
        <is>
          <t>pernoctaciones (noches) por mes</t>
        </is>
      </c>
      <c r="H136" s="10" t="inlineStr">
        <is>
          <t>660646 (2025-08)</t>
        </is>
      </c>
      <c r="I136" s="10" t="inlineStr">
        <is>
          <t>No</t>
        </is>
      </c>
      <c r="J136" s="10" t="inlineStr">
        <is>
          <t>≥ 0</t>
        </is>
      </c>
      <c r="K136" s="10" t="inlineStr">
        <is>
          <t>Pública</t>
        </is>
      </c>
      <c r="L136" s="10" t="inlineStr">
        <is>
          <t>Se copia</t>
        </is>
      </c>
      <c r="M136" s="10" t="inlineStr">
        <is>
          <t>P4 · ¿Cuánto pesan el turismo, el empleo y los precios?</t>
        </is>
      </c>
    </row>
    <row r="137">
      <c r="A137" s="10" t="inlineStr">
        <is>
          <t>F11</t>
        </is>
      </c>
      <c r="B137" s="10" t="inlineStr">
        <is>
          <t>lago/turismo.json · cifras</t>
        </is>
      </c>
      <c r="C137" s="10" t="inlineStr">
        <is>
          <t>viajeros_2024</t>
        </is>
      </c>
      <c r="D137" s="10" t="inlineStr">
        <is>
          <t>serie eoh_viaj_loc7</t>
        </is>
      </c>
      <c r="E137" s="10" t="inlineStr">
        <is>
          <t>Viajeros hospedados en el último año completo</t>
        </is>
      </c>
      <c r="F137" s="10" t="inlineStr">
        <is>
          <t>Entero</t>
        </is>
      </c>
      <c r="G137" s="10" t="inlineStr">
        <is>
          <t>viajeros hospedados en el año</t>
        </is>
      </c>
      <c r="H137" s="10" t="inlineStr">
        <is>
          <t>3993697 (2024)</t>
        </is>
      </c>
      <c r="I137" s="10" t="inlineStr">
        <is>
          <t>No</t>
        </is>
      </c>
      <c r="J137" s="10" t="inlineStr">
        <is>
          <t>≥ 0</t>
        </is>
      </c>
      <c r="K137" s="10" t="inlineStr">
        <is>
          <t>Pública</t>
        </is>
      </c>
      <c r="L137" s="10" t="inlineStr">
        <is>
          <t>Suma de 12 meses</t>
        </is>
      </c>
      <c r="M137" s="10" t="inlineStr">
        <is>
          <t>P4 · ¿Cuánto pesan el turismo, el empleo y los precios?</t>
        </is>
      </c>
    </row>
    <row r="138">
      <c r="A138" s="10" t="inlineStr">
        <is>
          <t>F11</t>
        </is>
      </c>
      <c r="B138" s="10" t="inlineStr">
        <is>
          <t>lago/turismo.json · cifras</t>
        </is>
      </c>
      <c r="C138" s="10" t="inlineStr">
        <is>
          <t>viajeros_no_residentes_ultimo_mes</t>
        </is>
      </c>
      <c r="D138" s="10" t="inlineStr">
        <is>
          <t>serie eoh_viaj_loc9</t>
        </is>
      </c>
      <c r="E138" s="10" t="inlineStr">
        <is>
          <t>Viajeros extranjeros hospedados el último mes</t>
        </is>
      </c>
      <c r="F138" s="10" t="inlineStr">
        <is>
          <t>Entero</t>
        </is>
      </c>
      <c r="G138" s="10" t="inlineStr">
        <is>
          <t>viajeros no residentes hospedados por mes</t>
        </is>
      </c>
      <c r="H138" s="10" t="inlineStr">
        <is>
          <t>136364 (2025-08)</t>
        </is>
      </c>
      <c r="I138" s="10" t="inlineStr">
        <is>
          <t>No</t>
        </is>
      </c>
      <c r="J138" s="10" t="inlineStr">
        <is>
          <t>≥ 0</t>
        </is>
      </c>
      <c r="K138" s="10" t="inlineStr">
        <is>
          <t>Pública</t>
        </is>
      </c>
      <c r="L138" s="10" t="inlineStr">
        <is>
          <t>Se copia</t>
        </is>
      </c>
      <c r="M138" s="10" t="inlineStr">
        <is>
          <t>P4 · ¿Cuánto pesan el turismo, el empleo y los precios?</t>
        </is>
      </c>
    </row>
    <row r="139">
      <c r="A139" s="10" t="inlineStr">
        <is>
          <t>F11</t>
        </is>
      </c>
      <c r="B139" s="10" t="inlineStr">
        <is>
          <t>lago/turismo.json · cifras</t>
        </is>
      </c>
      <c r="C139" s="10" t="inlineStr">
        <is>
          <t>viajeros_residentes_ultimo_mes</t>
        </is>
      </c>
      <c r="D139" s="10" t="inlineStr">
        <is>
          <t>serie eoh_viaj_loc8</t>
        </is>
      </c>
      <c r="E139" s="10" t="inlineStr">
        <is>
          <t>Viajeros argentinos hospedados el último mes</t>
        </is>
      </c>
      <c r="F139" s="10" t="inlineStr">
        <is>
          <t>Entero</t>
        </is>
      </c>
      <c r="G139" s="10" t="inlineStr">
        <is>
          <t>viajeros residentes hospedados por mes</t>
        </is>
      </c>
      <c r="H139" s="10" t="inlineStr">
        <is>
          <t>173564 (2025-08)</t>
        </is>
      </c>
      <c r="I139" s="10" t="inlineStr">
        <is>
          <t>No</t>
        </is>
      </c>
      <c r="J139" s="10" t="inlineStr">
        <is>
          <t>≥ 0</t>
        </is>
      </c>
      <c r="K139" s="10" t="inlineStr">
        <is>
          <t>Pública</t>
        </is>
      </c>
      <c r="L139" s="10" t="inlineStr">
        <is>
          <t>Se copia</t>
        </is>
      </c>
      <c r="M139" s="10" t="inlineStr">
        <is>
          <t>P4 · ¿Cuánto pesan el turismo, el empleo y los precios?</t>
        </is>
      </c>
    </row>
    <row r="140">
      <c r="A140" s="10" t="inlineStr">
        <is>
          <t>F11</t>
        </is>
      </c>
      <c r="B140" s="10" t="inlineStr">
        <is>
          <t>lago/turismo.json · cifras</t>
        </is>
      </c>
      <c r="C140" s="10" t="inlineStr">
        <is>
          <t>viajeros_total_ultimo_mes</t>
        </is>
      </c>
      <c r="D140" s="10" t="inlineStr">
        <is>
          <t>serie eoh_viaj_loc7</t>
        </is>
      </c>
      <c r="E140" s="10" t="inlineStr">
        <is>
          <t>Viajeros hospedados el último mes</t>
        </is>
      </c>
      <c r="F140" s="10" t="inlineStr">
        <is>
          <t>Entero</t>
        </is>
      </c>
      <c r="G140" s="10" t="inlineStr">
        <is>
          <t>viajeros hospedados por mes</t>
        </is>
      </c>
      <c r="H140" s="10" t="inlineStr">
        <is>
          <t>309928 (2025-08)</t>
        </is>
      </c>
      <c r="I140" s="10" t="inlineStr">
        <is>
          <t>No</t>
        </is>
      </c>
      <c r="J140" s="10" t="inlineStr">
        <is>
          <t>≥ 0</t>
        </is>
      </c>
      <c r="K140" s="10" t="inlineStr">
        <is>
          <t>Pública</t>
        </is>
      </c>
      <c r="L140" s="10" t="inlineStr">
        <is>
          <t>Se copia</t>
        </is>
      </c>
      <c r="M140" s="10" t="inlineStr">
        <is>
          <t>P4 · ¿Cuánto pesan el turismo, el empleo y los precios?</t>
        </is>
      </c>
    </row>
    <row r="141">
      <c r="A141" s="10" t="inlineStr">
        <is>
          <t>F11</t>
        </is>
      </c>
      <c r="B141" s="10" t="inlineStr">
        <is>
          <t>lago/turismo.json · series</t>
        </is>
      </c>
      <c r="C141" s="10" t="inlineStr">
        <is>
          <t>ocupacion_plazas</t>
        </is>
      </c>
      <c r="D141" s="10" t="inlineStr">
        <is>
          <t>serie eoh_plazas_15</t>
        </is>
      </c>
      <c r="E141" s="10" t="inlineStr">
        <is>
          <t>Ocupación hotelera mes a mes (serie [periodo, valor])</t>
        </is>
      </c>
      <c r="F141" s="10" t="inlineStr">
        <is>
          <t>Decimal</t>
        </is>
      </c>
      <c r="G141" s="10" t="inlineStr">
        <is>
          <t>% de plazas ocupadas (hoteles y parahoteles)</t>
        </is>
      </c>
      <c r="H141" s="10" t="inlineStr">
        <is>
          <t>["2018-01", 40.0]</t>
        </is>
      </c>
      <c r="I141" s="10" t="inlineStr">
        <is>
          <t>No</t>
        </is>
      </c>
      <c r="J141" s="10" t="inlineStr">
        <is>
          <t>0 a 100</t>
        </is>
      </c>
      <c r="K141" s="10" t="inlineStr">
        <is>
          <t>Pública</t>
        </is>
      </c>
      <c r="L141" s="10" t="inlineStr">
        <is>
          <t>Fracción × 100</t>
        </is>
      </c>
      <c r="M141" s="10" t="inlineStr">
        <is>
          <t>P4 · ¿Cuánto pesan el turismo, el empleo y los precios?</t>
        </is>
      </c>
    </row>
    <row r="142">
      <c r="A142" s="10" t="inlineStr">
        <is>
          <t>F11</t>
        </is>
      </c>
      <c r="B142" s="10" t="inlineStr">
        <is>
          <t>lago/turismo.json · series</t>
        </is>
      </c>
      <c r="C142" s="10" t="inlineStr">
        <is>
          <t>pernoctaciones</t>
        </is>
      </c>
      <c r="D142" s="10" t="inlineStr">
        <is>
          <t>serie eoh_pern_loc_7</t>
        </is>
      </c>
      <c r="E142" s="10" t="inlineStr">
        <is>
          <t>Noches pasadas por viajeros mes a mes (serie [periodo, valor])</t>
        </is>
      </c>
      <c r="F142" s="10" t="inlineStr">
        <is>
          <t>Entero</t>
        </is>
      </c>
      <c r="G142" s="10" t="inlineStr">
        <is>
          <t>pernoctaciones (noches) por mes</t>
        </is>
      </c>
      <c r="H142" s="10" t="inlineStr">
        <is>
          <t>["2018-01", 843250]</t>
        </is>
      </c>
      <c r="I142" s="10" t="inlineStr">
        <is>
          <t>No</t>
        </is>
      </c>
      <c r="J142" s="10" t="inlineStr">
        <is>
          <t>≥ 0</t>
        </is>
      </c>
      <c r="K142" s="10" t="inlineStr">
        <is>
          <t>Pública</t>
        </is>
      </c>
      <c r="L142" s="10" t="inlineStr">
        <is>
          <t>AAAA-MM-DD → AAAA-MM</t>
        </is>
      </c>
      <c r="M142" s="10" t="inlineStr">
        <is>
          <t>P4 · ¿Cuánto pesan el turismo, el empleo y los precios?</t>
        </is>
      </c>
    </row>
    <row r="143">
      <c r="A143" s="10" t="inlineStr">
        <is>
          <t>F11</t>
        </is>
      </c>
      <c r="B143" s="10" t="inlineStr">
        <is>
          <t>lago/turismo.json · series</t>
        </is>
      </c>
      <c r="C143" s="10" t="inlineStr">
        <is>
          <t>viajeros_no_residentes</t>
        </is>
      </c>
      <c r="D143" s="10" t="inlineStr">
        <is>
          <t>serie eoh_viaj_loc9</t>
        </is>
      </c>
      <c r="E143" s="10" t="inlineStr">
        <is>
          <t>Viajeros extranjeros mes a mes (serie [periodo, valor])</t>
        </is>
      </c>
      <c r="F143" s="10" t="inlineStr">
        <is>
          <t>Entero</t>
        </is>
      </c>
      <c r="G143" s="10" t="inlineStr">
        <is>
          <t>viajeros no residentes hospedados por mes</t>
        </is>
      </c>
      <c r="H143" s="10" t="inlineStr">
        <is>
          <t>["2018-01", 189501]</t>
        </is>
      </c>
      <c r="I143" s="10" t="inlineStr">
        <is>
          <t>No</t>
        </is>
      </c>
      <c r="J143" s="10" t="inlineStr">
        <is>
          <t>≥ 0</t>
        </is>
      </c>
      <c r="K143" s="10" t="inlineStr">
        <is>
          <t>Pública</t>
        </is>
      </c>
      <c r="L143" s="10" t="inlineStr">
        <is>
          <t>AAAA-MM-DD → AAAA-MM</t>
        </is>
      </c>
      <c r="M143" s="10" t="inlineStr">
        <is>
          <t>P4 · ¿Cuánto pesan el turismo, el empleo y los precios?</t>
        </is>
      </c>
    </row>
    <row r="144">
      <c r="A144" s="10" t="inlineStr">
        <is>
          <t>F11</t>
        </is>
      </c>
      <c r="B144" s="10" t="inlineStr">
        <is>
          <t>lago/turismo.json · series</t>
        </is>
      </c>
      <c r="C144" s="10" t="inlineStr">
        <is>
          <t>viajeros_residentes</t>
        </is>
      </c>
      <c r="D144" s="10" t="inlineStr">
        <is>
          <t>serie eoh_viaj_loc8</t>
        </is>
      </c>
      <c r="E144" s="10" t="inlineStr">
        <is>
          <t>Viajeros argentinos mes a mes (serie [periodo, valor])</t>
        </is>
      </c>
      <c r="F144" s="10" t="inlineStr">
        <is>
          <t>Entero</t>
        </is>
      </c>
      <c r="G144" s="10" t="inlineStr">
        <is>
          <t>viajeros residentes hospedados por mes</t>
        </is>
      </c>
      <c r="H144" s="10" t="inlineStr">
        <is>
          <t>["2018-01", 179520]</t>
        </is>
      </c>
      <c r="I144" s="10" t="inlineStr">
        <is>
          <t>No</t>
        </is>
      </c>
      <c r="J144" s="10" t="inlineStr">
        <is>
          <t>≥ 0</t>
        </is>
      </c>
      <c r="K144" s="10" t="inlineStr">
        <is>
          <t>Pública</t>
        </is>
      </c>
      <c r="L144" s="10" t="inlineStr">
        <is>
          <t>AAAA-MM-DD → AAAA-MM</t>
        </is>
      </c>
      <c r="M144" s="10" t="inlineStr">
        <is>
          <t>P4 · ¿Cuánto pesan el turismo, el empleo y los precios?</t>
        </is>
      </c>
    </row>
    <row r="145">
      <c r="A145" s="10" t="inlineStr">
        <is>
          <t>F11</t>
        </is>
      </c>
      <c r="B145" s="10" t="inlineStr">
        <is>
          <t>lago/turismo.json · series</t>
        </is>
      </c>
      <c r="C145" s="10" t="inlineStr">
        <is>
          <t>viajeros_total</t>
        </is>
      </c>
      <c r="D145" s="10" t="inlineStr">
        <is>
          <t>serie eoh_viaj_loc7</t>
        </is>
      </c>
      <c r="E145" s="10" t="inlineStr">
        <is>
          <t>Viajeros hospedados mes a mes (serie [periodo, valor])</t>
        </is>
      </c>
      <c r="F145" s="10" t="inlineStr">
        <is>
          <t>Entero</t>
        </is>
      </c>
      <c r="G145" s="10" t="inlineStr">
        <is>
          <t>viajeros hospedados por mes</t>
        </is>
      </c>
      <c r="H145" s="10" t="inlineStr">
        <is>
          <t>["2018-01", 369021]</t>
        </is>
      </c>
      <c r="I145" s="10" t="inlineStr">
        <is>
          <t>No</t>
        </is>
      </c>
      <c r="J145" s="10" t="inlineStr">
        <is>
          <t>≥ 0</t>
        </is>
      </c>
      <c r="K145" s="10" t="inlineStr">
        <is>
          <t>Pública</t>
        </is>
      </c>
      <c r="L145" s="10" t="inlineStr">
        <is>
          <t>AAAA-MM-DD → AAAA-MM</t>
        </is>
      </c>
      <c r="M145" s="10" t="inlineStr">
        <is>
          <t>P4 · ¿Cuánto pesan el turismo, el empleo y los precios?</t>
        </is>
      </c>
    </row>
    <row r="146">
      <c r="A146" s="10" t="inlineStr">
        <is>
          <t>F10</t>
        </is>
      </c>
      <c r="B146" s="10" t="inlineStr">
        <is>
          <t>lago/turismo.json · desgloses</t>
        </is>
      </c>
      <c r="C146" s="10" t="inlineStr">
        <is>
          <t>por_tipo</t>
        </is>
      </c>
      <c r="D146" s="10" t="inlineStr">
        <is>
          <t>tipo</t>
        </is>
      </c>
      <c r="E146" s="10" t="inlineStr">
        <is>
          <t>Alojamientos por tipo de registro (desglose [categoría, valor])</t>
        </is>
      </c>
      <c r="F146" s="10" t="inlineStr">
        <is>
          <t>Entero</t>
        </is>
      </c>
      <c r="G146" s="10" t="inlineStr">
        <is>
          <t>alojamientos</t>
        </is>
      </c>
      <c r="H146" s="10" t="inlineStr">
        <is>
          <t>["Registro de Prestadores", 68]</t>
        </is>
      </c>
      <c r="I146" s="10" t="inlineStr">
        <is>
          <t>No</t>
        </is>
      </c>
      <c r="J146" s="10" t="inlineStr">
        <is>
          <t>≥ 0</t>
        </is>
      </c>
      <c r="K146" s="10" t="inlineStr">
        <is>
          <t>Pública</t>
        </is>
      </c>
      <c r="L146" s="10" t="inlineStr">
        <is>
          <t>Conteo</t>
        </is>
      </c>
      <c r="M146" s="10" t="inlineStr">
        <is>
          <t>P4 · ¿Cuánto pesan el turismo, el empleo y los precios?</t>
        </is>
      </c>
    </row>
    <row r="147">
      <c r="A147" s="10" t="inlineStr">
        <is>
          <t>F01</t>
        </is>
      </c>
      <c r="B147" s="10" t="inlineStr">
        <is>
          <t>lago/geo/barrios.geojson</t>
        </is>
      </c>
      <c r="C147" s="10" t="inlineStr">
        <is>
          <t>id</t>
        </is>
      </c>
      <c r="D147" s="10" t="inlineStr">
        <is>
          <t>id</t>
        </is>
      </c>
      <c r="E147" s="10" t="inlineStr">
        <is>
          <t>Identificador del barrio</t>
        </is>
      </c>
      <c r="F147" s="10" t="inlineStr">
        <is>
          <t>Entero</t>
        </is>
      </c>
      <c r="G147" s="10" t="inlineStr">
        <is>
          <t>—</t>
        </is>
      </c>
      <c r="H147" s="10" t="inlineStr">
        <is>
          <t>1</t>
        </is>
      </c>
      <c r="I147" s="10" t="inlineStr">
        <is>
          <t>No</t>
        </is>
      </c>
      <c r="J147" s="10" t="inlineStr">
        <is>
          <t>≥ 0</t>
        </is>
      </c>
      <c r="K147" s="10" t="inlineStr">
        <is>
          <t>Pública</t>
        </is>
      </c>
      <c r="L147" s="10" t="inlineStr">
        <is>
          <t>Se copia</t>
        </is>
      </c>
      <c r="M147" s="10" t="inlineStr">
        <is>
          <t>P1 · ¿Cuánta gente vive en cada barrio y qué servicios de salud, educación y cultura tiene cerca?</t>
        </is>
      </c>
    </row>
    <row r="148">
      <c r="A148" s="10" t="inlineStr">
        <is>
          <t>F01</t>
        </is>
      </c>
      <c r="B148" s="10" t="inlineStr">
        <is>
          <t>lago/geo/barrios.geojson</t>
        </is>
      </c>
      <c r="C148" s="10" t="inlineStr">
        <is>
          <t>nombre</t>
        </is>
      </c>
      <c r="D148" s="10" t="inlineStr">
        <is>
          <t>nombre</t>
        </is>
      </c>
      <c r="E148" s="10" t="inlineStr">
        <is>
          <t>Nombre del barrio</t>
        </is>
      </c>
      <c r="F148" s="10" t="inlineStr">
        <is>
          <t>Texto</t>
        </is>
      </c>
      <c r="G148" s="10" t="inlineStr">
        <is>
          <t>—</t>
        </is>
      </c>
      <c r="H148" s="10" t="inlineStr">
        <is>
          <t>Agronomia</t>
        </is>
      </c>
      <c r="I148" s="10" t="inlineStr">
        <is>
          <t>No</t>
        </is>
      </c>
      <c r="J148" s="10" t="inlineStr">
        <is>
          <t>—</t>
        </is>
      </c>
      <c r="K148" s="10" t="inlineStr">
        <is>
          <t>Pública</t>
        </is>
      </c>
      <c r="L148" s="10" t="inlineStr">
        <is>
          <t>Se copia</t>
        </is>
      </c>
      <c r="M148" s="10" t="inlineStr">
        <is>
          <t>P1 · ¿Cuánta gente vive en cada barrio y qué servicios de salud, educación y cultura tiene cerca?</t>
        </is>
      </c>
    </row>
    <row r="149">
      <c r="A149" s="10" t="inlineStr">
        <is>
          <t>F01</t>
        </is>
      </c>
      <c r="B149" s="10" t="inlineStr">
        <is>
          <t>lago/geo/barrios.geojson</t>
        </is>
      </c>
      <c r="C149" s="10" t="inlineStr">
        <is>
          <t>comuna</t>
        </is>
      </c>
      <c r="D149" s="10" t="inlineStr">
        <is>
          <t>comuna</t>
        </is>
      </c>
      <c r="E149" s="10" t="inlineStr">
        <is>
          <t>Comuna del barrio</t>
        </is>
      </c>
      <c r="F149" s="10" t="inlineStr">
        <is>
          <t>Entero</t>
        </is>
      </c>
      <c r="G149" s="10" t="inlineStr">
        <is>
          <t>—</t>
        </is>
      </c>
      <c r="H149" s="10" t="inlineStr">
        <is>
          <t>15</t>
        </is>
      </c>
      <c r="I149" s="10" t="inlineStr">
        <is>
          <t>No</t>
        </is>
      </c>
      <c r="J149" s="10" t="inlineStr">
        <is>
          <t>≥ 0</t>
        </is>
      </c>
      <c r="K149" s="10" t="inlineStr">
        <is>
          <t>Pública</t>
        </is>
      </c>
      <c r="L149" s="10" t="inlineStr">
        <is>
          <t>Se copia</t>
        </is>
      </c>
      <c r="M149" s="10" t="inlineStr">
        <is>
          <t>P1 · ¿Cuánta gente vive en cada barrio y qué servicios de salud, educación y cultura tiene cerca?</t>
        </is>
      </c>
    </row>
    <row r="150">
      <c r="A150" s="10" t="inlineStr">
        <is>
          <t>F01</t>
        </is>
      </c>
      <c r="B150" s="10" t="inlineStr">
        <is>
          <t>lago/geo/barrios.geojson</t>
        </is>
      </c>
      <c r="C150" s="10" t="inlineStr">
        <is>
          <t>geometry</t>
        </is>
      </c>
      <c r="D150" s="10" t="inlineStr">
        <is>
          <t>geometry</t>
        </is>
      </c>
      <c r="E150" s="10" t="inlineStr">
        <is>
          <t>Polígono del barrio (WGS84, simplificado ~10 m)</t>
        </is>
      </c>
      <c r="F150" s="10" t="inlineStr">
        <is>
          <t>Coordenada / geometría</t>
        </is>
      </c>
      <c r="G150" s="10" t="inlineStr">
        <is>
          <t>grados WGS84</t>
        </is>
      </c>
      <c r="H150" s="10" t="inlineStr">
        <is>
          <t>MultiPolygon</t>
        </is>
      </c>
      <c r="I150" s="10" t="inlineStr">
        <is>
          <t>No</t>
        </is>
      </c>
      <c r="J150" s="10" t="inlineStr">
        <is>
          <t>dentro de la Ciudad</t>
        </is>
      </c>
      <c r="K150" s="10" t="inlineStr">
        <is>
          <t>Pública</t>
        </is>
      </c>
      <c r="L150" s="10" t="inlineStr">
        <is>
          <t>Douglas-Peucker ~10 m, 5 decimales</t>
        </is>
      </c>
      <c r="M150" s="10" t="inlineStr">
        <is>
          <t>P1 · ¿Cuánta gente vive en cada barrio y qué servicios de salud, educación y cultura tiene cerca?</t>
        </is>
      </c>
    </row>
    <row r="151">
      <c r="A151" s="10" t="inlineStr">
        <is>
          <t>F02</t>
        </is>
      </c>
      <c r="B151" s="10" t="inlineStr">
        <is>
          <t>lago/geo/comunas.geojson</t>
        </is>
      </c>
      <c r="C151" s="10" t="inlineStr">
        <is>
          <t>id</t>
        </is>
      </c>
      <c r="D151" s="10" t="inlineStr">
        <is>
          <t>id</t>
        </is>
      </c>
      <c r="E151" s="10" t="inlineStr">
        <is>
          <t>Identificador de la comuna</t>
        </is>
      </c>
      <c r="F151" s="10" t="inlineStr">
        <is>
          <t>Entero</t>
        </is>
      </c>
      <c r="G151" s="10" t="inlineStr">
        <is>
          <t>—</t>
        </is>
      </c>
      <c r="H151" s="10" t="inlineStr">
        <is>
          <t>1</t>
        </is>
      </c>
      <c r="I151" s="10" t="inlineStr">
        <is>
          <t>No</t>
        </is>
      </c>
      <c r="J151" s="10" t="inlineStr">
        <is>
          <t>≥ 0</t>
        </is>
      </c>
      <c r="K151" s="10" t="inlineStr">
        <is>
          <t>Pública</t>
        </is>
      </c>
      <c r="L151" s="10" t="inlineStr">
        <is>
          <t>Se copia</t>
        </is>
      </c>
      <c r="M151" s="10" t="inlineStr">
        <is>
          <t>P1 · ¿Cuánta gente vive en cada barrio y qué servicios de salud, educación y cultura tiene cerca?</t>
        </is>
      </c>
    </row>
    <row r="152">
      <c r="A152" s="10" t="inlineStr">
        <is>
          <t>F02</t>
        </is>
      </c>
      <c r="B152" s="10" t="inlineStr">
        <is>
          <t>lago/geo/comunas.geojson</t>
        </is>
      </c>
      <c r="C152" s="10" t="inlineStr">
        <is>
          <t>comuna</t>
        </is>
      </c>
      <c r="D152" s="10" t="inlineStr">
        <is>
          <t>comuna</t>
        </is>
      </c>
      <c r="E152" s="10" t="inlineStr">
        <is>
          <t>Número de comuna</t>
        </is>
      </c>
      <c r="F152" s="10" t="inlineStr">
        <is>
          <t>Entero</t>
        </is>
      </c>
      <c r="G152" s="10" t="inlineStr">
        <is>
          <t>—</t>
        </is>
      </c>
      <c r="H152" s="10" t="inlineStr">
        <is>
          <t>1</t>
        </is>
      </c>
      <c r="I152" s="10" t="inlineStr">
        <is>
          <t>No</t>
        </is>
      </c>
      <c r="J152" s="10" t="inlineStr">
        <is>
          <t>≥ 0</t>
        </is>
      </c>
      <c r="K152" s="10" t="inlineStr">
        <is>
          <t>Pública</t>
        </is>
      </c>
      <c r="L152" s="10" t="inlineStr">
        <is>
          <t>Se copia</t>
        </is>
      </c>
      <c r="M152" s="10" t="inlineStr">
        <is>
          <t>P1 · ¿Cuánta gente vive en cada barrio y qué servicios de salud, educación y cultura tiene cerca?</t>
        </is>
      </c>
    </row>
    <row r="153">
      <c r="A153" s="10" t="inlineStr">
        <is>
          <t>F02</t>
        </is>
      </c>
      <c r="B153" s="10" t="inlineStr">
        <is>
          <t>lago/geo/comunas.geojson</t>
        </is>
      </c>
      <c r="C153" s="10" t="inlineStr">
        <is>
          <t>barrios</t>
        </is>
      </c>
      <c r="D153" s="10" t="inlineStr">
        <is>
          <t>barrios</t>
        </is>
      </c>
      <c r="E153" s="10" t="inlineStr">
        <is>
          <t>Barrios que forman la comuna</t>
        </is>
      </c>
      <c r="F153" s="10" t="inlineStr">
        <is>
          <t>Texto</t>
        </is>
      </c>
      <c r="G153" s="10" t="inlineStr">
        <is>
          <t>—</t>
        </is>
      </c>
      <c r="H153" s="10" t="inlineStr">
        <is>
          <t>Constitucion, San Telmo, Monserrat, Retiro, Puerto Madero, S</t>
        </is>
      </c>
      <c r="I153" s="10" t="inlineStr">
        <is>
          <t>No</t>
        </is>
      </c>
      <c r="J153" s="10" t="inlineStr">
        <is>
          <t>—</t>
        </is>
      </c>
      <c r="K153" s="10" t="inlineStr">
        <is>
          <t>Pública</t>
        </is>
      </c>
      <c r="L153" s="10" t="inlineStr">
        <is>
          <t>Se copia</t>
        </is>
      </c>
      <c r="M153" s="10" t="inlineStr">
        <is>
          <t>P1 · ¿Cuánta gente vive en cada barrio y qué servicios de salud, educación y cultura tiene cerca?</t>
        </is>
      </c>
    </row>
    <row r="154">
      <c r="A154" s="10" t="inlineStr">
        <is>
          <t>F02</t>
        </is>
      </c>
      <c r="B154" s="10" t="inlineStr">
        <is>
          <t>lago/geo/comunas.geojson</t>
        </is>
      </c>
      <c r="C154" s="10" t="inlineStr">
        <is>
          <t>geometry</t>
        </is>
      </c>
      <c r="D154" s="10" t="inlineStr">
        <is>
          <t>geometry</t>
        </is>
      </c>
      <c r="E154" s="10" t="inlineStr">
        <is>
          <t>Polígono de la comuna (WGS84, simplificado)</t>
        </is>
      </c>
      <c r="F154" s="10" t="inlineStr">
        <is>
          <t>Coordenada / geometría</t>
        </is>
      </c>
      <c r="G154" s="10" t="inlineStr">
        <is>
          <t>grados WGS84</t>
        </is>
      </c>
      <c r="H154" s="10" t="inlineStr">
        <is>
          <t>MultiPolygon</t>
        </is>
      </c>
      <c r="I154" s="10" t="inlineStr">
        <is>
          <t>No</t>
        </is>
      </c>
      <c r="J154" s="10" t="inlineStr">
        <is>
          <t>dentro de la Ciudad</t>
        </is>
      </c>
      <c r="K154" s="10" t="inlineStr">
        <is>
          <t>Pública</t>
        </is>
      </c>
      <c r="L154" s="10" t="inlineStr">
        <is>
          <t>Douglas-Peucker ~10 m, 5 decimales</t>
        </is>
      </c>
      <c r="M154" s="10" t="inlineStr">
        <is>
          <t>P1 · ¿Cuánta gente vive en cada barrio y qué servicios de salud, educación y cultura tiene cerca?</t>
        </is>
      </c>
    </row>
    <row r="155">
      <c r="A155" s="10" t="inlineStr">
        <is>
          <t>F24</t>
        </is>
      </c>
      <c r="B155" s="10" t="inlineStr">
        <is>
          <t>lago/geo/subte_estaciones.geojson</t>
        </is>
      </c>
      <c r="C155" s="10" t="inlineStr">
        <is>
          <t>estacion</t>
        </is>
      </c>
      <c r="D155" s="10" t="inlineStr">
        <is>
          <t>estacion</t>
        </is>
      </c>
      <c r="E155" s="10" t="inlineStr">
        <is>
          <t>Nombre de la estación</t>
        </is>
      </c>
      <c r="F155" s="10" t="inlineStr">
        <is>
          <t>Texto</t>
        </is>
      </c>
      <c r="G155" s="10" t="inlineStr">
        <is>
          <t>—</t>
        </is>
      </c>
      <c r="H155" s="10" t="inlineStr">
        <is>
          <t>Caseros</t>
        </is>
      </c>
      <c r="I155" s="10" t="inlineStr">
        <is>
          <t>No</t>
        </is>
      </c>
      <c r="J155" s="10" t="inlineStr">
        <is>
          <t>—</t>
        </is>
      </c>
      <c r="K155" s="10" t="inlineStr">
        <is>
          <t>Pública</t>
        </is>
      </c>
      <c r="L155" s="10" t="inlineStr">
        <is>
          <t>Se copia</t>
        </is>
      </c>
      <c r="M155" s="10" t="inlineStr">
        <is>
          <t>P6 · ¿Cómo se mueve la gente por la Ciudad?</t>
        </is>
      </c>
    </row>
    <row r="156">
      <c r="A156" s="10" t="inlineStr">
        <is>
          <t>F24</t>
        </is>
      </c>
      <c r="B156" s="10" t="inlineStr">
        <is>
          <t>lago/geo/subte_estaciones.geojson</t>
        </is>
      </c>
      <c r="C156" s="10" t="inlineStr">
        <is>
          <t>linea</t>
        </is>
      </c>
      <c r="D156" s="10" t="inlineStr">
        <is>
          <t>linea</t>
        </is>
      </c>
      <c r="E156" s="10" t="inlineStr">
        <is>
          <t>Línea (A, B, C, D, E, H)</t>
        </is>
      </c>
      <c r="F156" s="10" t="inlineStr">
        <is>
          <t>Código</t>
        </is>
      </c>
      <c r="G156" s="10" t="inlineStr">
        <is>
          <t>—</t>
        </is>
      </c>
      <c r="H156" s="10" t="inlineStr">
        <is>
          <t>H</t>
        </is>
      </c>
      <c r="I156" s="10" t="inlineStr">
        <is>
          <t>No</t>
        </is>
      </c>
      <c r="J156" s="10" t="inlineStr">
        <is>
          <t>—</t>
        </is>
      </c>
      <c r="K156" s="10" t="inlineStr">
        <is>
          <t>Pública</t>
        </is>
      </c>
      <c r="L156" s="10" t="inlineStr">
        <is>
          <t>Se copia</t>
        </is>
      </c>
      <c r="M156" s="10" t="inlineStr">
        <is>
          <t>P6 · ¿Cómo se mueve la gente por la Ciudad?</t>
        </is>
      </c>
    </row>
    <row r="157">
      <c r="A157" s="10" t="inlineStr">
        <is>
          <t>F24</t>
        </is>
      </c>
      <c r="B157" s="10" t="inlineStr">
        <is>
          <t>lago/geo/subte_estaciones.geojson</t>
        </is>
      </c>
      <c r="C157" s="10" t="inlineStr">
        <is>
          <t>geometry</t>
        </is>
      </c>
      <c r="D157" s="10" t="inlineStr">
        <is>
          <t>geometry</t>
        </is>
      </c>
      <c r="E157" s="10" t="inlineStr">
        <is>
          <t>Punto de la estación (WGS84)</t>
        </is>
      </c>
      <c r="F157" s="10" t="inlineStr">
        <is>
          <t>Coordenada / geometría</t>
        </is>
      </c>
      <c r="G157" s="10" t="inlineStr">
        <is>
          <t>grados WGS84</t>
        </is>
      </c>
      <c r="H157" s="10" t="inlineStr">
        <is>
          <t>Point</t>
        </is>
      </c>
      <c r="I157" s="10" t="inlineStr">
        <is>
          <t>No</t>
        </is>
      </c>
      <c r="J157" s="10" t="inlineStr">
        <is>
          <t>dentro de la Ciudad</t>
        </is>
      </c>
      <c r="K157" s="10" t="inlineStr">
        <is>
          <t>Pública</t>
        </is>
      </c>
      <c r="L157" s="10" t="inlineStr">
        <is>
          <t>Se copia</t>
        </is>
      </c>
      <c r="M157" s="10" t="inlineStr">
        <is>
          <t>P6 · ¿Cómo se mueve la gente por la Ciudad?</t>
        </is>
      </c>
    </row>
    <row r="158">
      <c r="A158" s="10" t="inlineStr">
        <is>
          <t>F24</t>
        </is>
      </c>
      <c r="B158" s="10" t="inlineStr">
        <is>
          <t>lago/geo/subte_lineas.geojson</t>
        </is>
      </c>
      <c r="C158" s="10" t="inlineStr">
        <is>
          <t>id</t>
        </is>
      </c>
      <c r="D158" s="10" t="inlineStr">
        <is>
          <t>id</t>
        </is>
      </c>
      <c r="E158" s="10" t="inlineStr">
        <is>
          <t>Identificador del tramo</t>
        </is>
      </c>
      <c r="F158" s="10" t="inlineStr">
        <is>
          <t>Entero</t>
        </is>
      </c>
      <c r="G158" s="10" t="inlineStr">
        <is>
          <t>—</t>
        </is>
      </c>
      <c r="H158" s="10" t="inlineStr">
        <is>
          <t>1</t>
        </is>
      </c>
      <c r="I158" s="10" t="inlineStr">
        <is>
          <t>No</t>
        </is>
      </c>
      <c r="J158" s="10" t="inlineStr">
        <is>
          <t>≥ 0</t>
        </is>
      </c>
      <c r="K158" s="10" t="inlineStr">
        <is>
          <t>Pública</t>
        </is>
      </c>
      <c r="L158" s="10" t="inlineStr">
        <is>
          <t>Se copia</t>
        </is>
      </c>
      <c r="M158" s="10" t="inlineStr">
        <is>
          <t>P6 · ¿Cómo se mueve la gente por la Ciudad?</t>
        </is>
      </c>
    </row>
    <row r="159">
      <c r="A159" s="10" t="inlineStr">
        <is>
          <t>F24</t>
        </is>
      </c>
      <c r="B159" s="10" t="inlineStr">
        <is>
          <t>lago/geo/subte_lineas.geojson</t>
        </is>
      </c>
      <c r="C159" s="10" t="inlineStr">
        <is>
          <t>nombre</t>
        </is>
      </c>
      <c r="D159" s="10" t="inlineStr">
        <is>
          <t>nombre</t>
        </is>
      </c>
      <c r="E159" s="10" t="inlineStr">
        <is>
          <t>Nombre de la línea del tramo</t>
        </is>
      </c>
      <c r="F159" s="10" t="inlineStr">
        <is>
          <t>Texto</t>
        </is>
      </c>
      <c r="G159" s="10" t="inlineStr">
        <is>
          <t>—</t>
        </is>
      </c>
      <c r="H159" s="10" t="inlineStr">
        <is>
          <t>Linea A</t>
        </is>
      </c>
      <c r="I159" s="10" t="inlineStr">
        <is>
          <t>No</t>
        </is>
      </c>
      <c r="J159" s="10" t="inlineStr">
        <is>
          <t>—</t>
        </is>
      </c>
      <c r="K159" s="10" t="inlineStr">
        <is>
          <t>Pública</t>
        </is>
      </c>
      <c r="L159" s="10" t="inlineStr">
        <is>
          <t>Se copia</t>
        </is>
      </c>
      <c r="M159" s="10" t="inlineStr">
        <is>
          <t>P6 · ¿Cómo se mueve la gente por la Ciudad?</t>
        </is>
      </c>
    </row>
    <row r="160">
      <c r="A160" s="10" t="inlineStr">
        <is>
          <t>F24</t>
        </is>
      </c>
      <c r="B160" s="10" t="inlineStr">
        <is>
          <t>lago/geo/subte_lineas.geojson</t>
        </is>
      </c>
      <c r="C160" s="10" t="inlineStr">
        <is>
          <t>geometry</t>
        </is>
      </c>
      <c r="D160" s="10" t="inlineStr">
        <is>
          <t>geometry</t>
        </is>
      </c>
      <c r="E160" s="10" t="inlineStr">
        <is>
          <t>Trazado del tramo (WGS84, simplificado)</t>
        </is>
      </c>
      <c r="F160" s="10" t="inlineStr">
        <is>
          <t>Coordenada / geometría</t>
        </is>
      </c>
      <c r="G160" s="10" t="inlineStr">
        <is>
          <t>grados WGS84</t>
        </is>
      </c>
      <c r="H160" s="10" t="inlineStr">
        <is>
          <t>MultiLineString</t>
        </is>
      </c>
      <c r="I160" s="10" t="inlineStr">
        <is>
          <t>No</t>
        </is>
      </c>
      <c r="J160" s="10" t="inlineStr">
        <is>
          <t>dentro de la Ciudad</t>
        </is>
      </c>
      <c r="K160" s="10" t="inlineStr">
        <is>
          <t>Pública</t>
        </is>
      </c>
      <c r="L160" s="10" t="inlineStr">
        <is>
          <t>Douglas-Peucker ~10 m, 5 decimales</t>
        </is>
      </c>
      <c r="M160" s="10" t="inlineStr">
        <is>
          <t>P6 · ¿Cómo se mueve la gente por la Ciudad?</t>
        </is>
      </c>
    </row>
    <row r="161">
      <c r="A161" s="10" t="inlineStr">
        <is>
          <t>F25</t>
        </is>
      </c>
      <c r="B161" s="10" t="inlineStr">
        <is>
          <t>lago/geo/subte_pasajeros.geojson</t>
        </is>
      </c>
      <c r="C161" s="10" t="inlineStr">
        <is>
          <t>estacion</t>
        </is>
      </c>
      <c r="D161" s="10" t="inlineStr">
        <is>
          <t>estacion</t>
        </is>
      </c>
      <c r="E161" s="10" t="inlineStr">
        <is>
          <t>Estación (como en subte_estaciones)</t>
        </is>
      </c>
      <c r="F161" s="10" t="inlineStr">
        <is>
          <t>Texto</t>
        </is>
      </c>
      <c r="G161" s="10" t="inlineStr">
        <is>
          <t>—</t>
        </is>
      </c>
      <c r="H161" s="10" t="inlineStr">
        <is>
          <t>Acoyte</t>
        </is>
      </c>
      <c r="I161" s="10" t="inlineStr">
        <is>
          <t>No</t>
        </is>
      </c>
      <c r="J161" s="10" t="inlineStr">
        <is>
          <t>—</t>
        </is>
      </c>
      <c r="K161" s="10" t="inlineStr">
        <is>
          <t>Pública</t>
        </is>
      </c>
      <c r="L161" s="10" t="inlineStr">
        <is>
          <t>Se copia</t>
        </is>
      </c>
      <c r="M161" s="10" t="inlineStr">
        <is>
          <t>P6 · ¿Cómo se mueve la gente por la Ciudad?</t>
        </is>
      </c>
    </row>
    <row r="162">
      <c r="A162" s="10" t="inlineStr">
        <is>
          <t>F25</t>
        </is>
      </c>
      <c r="B162" s="10" t="inlineStr">
        <is>
          <t>lago/geo/subte_pasajeros.geojson</t>
        </is>
      </c>
      <c r="C162" s="10" t="inlineStr">
        <is>
          <t>linea</t>
        </is>
      </c>
      <c r="D162" s="10" t="inlineStr">
        <is>
          <t>linea</t>
        </is>
      </c>
      <c r="E162" s="10" t="inlineStr">
        <is>
          <t>Línea</t>
        </is>
      </c>
      <c r="F162" s="10" t="inlineStr">
        <is>
          <t>Código</t>
        </is>
      </c>
      <c r="G162" s="10" t="inlineStr">
        <is>
          <t>—</t>
        </is>
      </c>
      <c r="H162" s="10" t="inlineStr">
        <is>
          <t>A</t>
        </is>
      </c>
      <c r="I162" s="10" t="inlineStr">
        <is>
          <t>No</t>
        </is>
      </c>
      <c r="J162" s="10" t="inlineStr">
        <is>
          <t>—</t>
        </is>
      </c>
      <c r="K162" s="10" t="inlineStr">
        <is>
          <t>Pública</t>
        </is>
      </c>
      <c r="L162" s="10" t="inlineStr">
        <is>
          <t>Se copia</t>
        </is>
      </c>
      <c r="M162" s="10" t="inlineStr">
        <is>
          <t>P6 · ¿Cómo se mueve la gente por la Ciudad?</t>
        </is>
      </c>
    </row>
    <row r="163">
      <c r="A163" s="10" t="inlineStr">
        <is>
          <t>F25</t>
        </is>
      </c>
      <c r="B163" s="10" t="inlineStr">
        <is>
          <t>lago/geo/subte_pasajeros.geojson</t>
        </is>
      </c>
      <c r="C163" s="10" t="inlineStr">
        <is>
          <t>barrio</t>
        </is>
      </c>
      <c r="D163" s="10" t="inlineStr">
        <is>
          <t>— (calculado)</t>
        </is>
      </c>
      <c r="E163" s="10" t="inlineStr">
        <is>
          <t>Barrio donde está la estación</t>
        </is>
      </c>
      <c r="F163" s="10" t="inlineStr">
        <is>
          <t>Texto</t>
        </is>
      </c>
      <c r="G163" s="10" t="inlineStr">
        <is>
          <t>—</t>
        </is>
      </c>
      <c r="H163" s="10" t="inlineStr">
        <is>
          <t>CABALLITO</t>
        </is>
      </c>
      <c r="I163" s="10" t="inlineStr">
        <is>
          <t>No</t>
        </is>
      </c>
      <c r="J163" s="10" t="inlineStr">
        <is>
          <t>—</t>
        </is>
      </c>
      <c r="K163" s="10" t="inlineStr">
        <is>
          <t>Pública</t>
        </is>
      </c>
      <c r="L163" s="10" t="inlineStr">
        <is>
          <t>Barrio por punto en polígono</t>
        </is>
      </c>
      <c r="M163" s="10" t="inlineStr">
        <is>
          <t>P6 · ¿Cómo se mueve la gente por la Ciudad?</t>
        </is>
      </c>
    </row>
    <row r="164">
      <c r="A164" s="10" t="inlineStr">
        <is>
          <t>F25</t>
        </is>
      </c>
      <c r="B164" s="10" t="inlineStr">
        <is>
          <t>lago/geo/subte_pasajeros.geojson</t>
        </is>
      </c>
      <c r="C164" s="10" t="inlineStr">
        <is>
          <t>pasajeros_2025</t>
        </is>
      </c>
      <c r="D164" s="10" t="inlineStr">
        <is>
          <t>pax_TOTAL</t>
        </is>
      </c>
      <c r="E164" s="10" t="inlineStr">
        <is>
          <t>Validaciones en molinetes de la estación en 2025</t>
        </is>
      </c>
      <c r="F164" s="10" t="inlineStr">
        <is>
          <t>Entero</t>
        </is>
      </c>
      <c r="G164" s="10" t="inlineStr">
        <is>
          <t>pasajeros</t>
        </is>
      </c>
      <c r="H164" s="10" t="inlineStr">
        <is>
          <t>3104096</t>
        </is>
      </c>
      <c r="I164" s="10" t="inlineStr">
        <is>
          <t>No</t>
        </is>
      </c>
      <c r="J164" s="10" t="inlineStr">
        <is>
          <t>≥ 0</t>
        </is>
      </c>
      <c r="K164" s="10" t="inlineStr">
        <is>
          <t>Pública</t>
        </is>
      </c>
      <c r="L164" s="10" t="inlineStr">
        <is>
          <t>Suma 2025 por estación</t>
        </is>
      </c>
      <c r="M164" s="10" t="inlineStr">
        <is>
          <t>P6 · ¿Cómo se mueve la gente por la Ciudad?</t>
        </is>
      </c>
    </row>
    <row r="165">
      <c r="A165" s="10" t="inlineStr">
        <is>
          <t>F25</t>
        </is>
      </c>
      <c r="B165" s="10" t="inlineStr">
        <is>
          <t>lago/geo/subte_pasajeros.geojson</t>
        </is>
      </c>
      <c r="C165" s="10" t="inlineStr">
        <is>
          <t>geometry</t>
        </is>
      </c>
      <c r="D165" s="10" t="inlineStr">
        <is>
          <t>geometry</t>
        </is>
      </c>
      <c r="E165" s="10" t="inlineStr">
        <is>
          <t>Punto de la estación (WGS84)</t>
        </is>
      </c>
      <c r="F165" s="10" t="inlineStr">
        <is>
          <t>Coordenada / geometría</t>
        </is>
      </c>
      <c r="G165" s="10" t="inlineStr">
        <is>
          <t>grados WGS84</t>
        </is>
      </c>
      <c r="H165" s="10" t="inlineStr">
        <is>
          <t>Point</t>
        </is>
      </c>
      <c r="I165" s="10" t="inlineStr">
        <is>
          <t>No</t>
        </is>
      </c>
      <c r="J165" s="10" t="inlineStr">
        <is>
          <t>dentro de la Ciudad</t>
        </is>
      </c>
      <c r="K165" s="10" t="inlineStr">
        <is>
          <t>Pública</t>
        </is>
      </c>
      <c r="L165" s="10" t="inlineStr">
        <is>
          <t>Se copia</t>
        </is>
      </c>
      <c r="M165" s="10" t="inlineStr">
        <is>
          <t>P6 · ¿Cómo se mueve la gente por la Ciudad?</t>
        </is>
      </c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</row>
  </sheetData>
  <dataValidations count="3">
    <dataValidation sqref="F5:F200" showDropDown="0" showInputMessage="0" showErrorMessage="0" allowBlank="1" error="Elijan una opción de la lista" type="list">
      <formula1>"Texto,Entero,Decimal,Fecha,Booleano,Código,Coordenada / geometría"</formula1>
    </dataValidation>
    <dataValidation sqref="I5:I200" showDropDown="0" showInputMessage="0" showErrorMessage="0" allowBlank="1" error="Elijan una opción de la lista" type="list">
      <formula1>"Sí,No"</formula1>
    </dataValidation>
    <dataValidation sqref="K5:K200" showDropDown="0" showInputMessage="0" showErrorMessage="0" allowBlank="1" error="Elijan una opción de la lista" type="list">
      <formula1>"Pública,Interna,Sensible,Dato 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" customWidth="1" min="1" max="1"/>
    <col width="16" customWidth="1" min="2" max="2"/>
    <col width="36" customWidth="1" min="3" max="4"/>
    <col width="30" customWidth="1" min="5" max="5"/>
    <col width="16" customWidth="1" min="6" max="6"/>
    <col width="12" customWidth="1" min="7" max="7"/>
    <col width="30" customWidth="1" min="8" max="8"/>
  </cols>
  <sheetData>
    <row r="1" ht="18" customHeight="1">
      <c r="A1" s="6" t="inlineStr">
        <is>
          <t>3. Bitácora de la búsqueda con IA</t>
        </is>
      </c>
    </row>
    <row r="2">
      <c r="A2" s="7" t="inlineStr">
        <is>
          <t>Qué le encargaron a la IA y qué pasó con lo que respondió. Incluyan los errores: valen tanto como los aciertos.</t>
        </is>
      </c>
    </row>
    <row r="3" ht="42" customHeight="1">
      <c r="A3" s="8" t="inlineStr">
        <is>
          <t>#</t>
        </is>
      </c>
      <c r="B3" s="8" t="inlineStr">
        <is>
          <t>Herramienta de IA</t>
        </is>
      </c>
      <c r="C3" s="8" t="inlineStr">
        <is>
          <t>Qué le encargaron</t>
        </is>
      </c>
      <c r="D3" s="8" t="inlineStr">
        <is>
          <t>Qué respondió (resumen)</t>
        </is>
      </c>
      <c r="E3" s="8" t="inlineStr">
        <is>
          <t>Cómo lo comprobaron</t>
        </is>
      </c>
      <c r="F3" s="8" t="inlineStr">
        <is>
          <t>Resultado</t>
        </is>
      </c>
      <c r="G3" s="8" t="inlineStr">
        <is>
          <t>ID fuente que salió de ahí</t>
        </is>
      </c>
      <c r="H3" s="8" t="inlineStr">
        <is>
          <t>Qué aprendieron</t>
        </is>
      </c>
    </row>
    <row r="4" ht="52" customHeight="1">
      <c r="A4" s="9" t="inlineStr">
        <is>
          <t>1</t>
        </is>
      </c>
      <c r="B4" s="9" t="inlineStr">
        <is>
          <t>Claude</t>
        </is>
      </c>
      <c r="C4" s="9" t="inlineStr">
        <is>
          <t>Encontrar una fuente abierta y sin llave que mida cuánto interés despierta Medellín fuera de la ciudad</t>
        </is>
      </c>
      <c r="D4" s="9" t="inlineStr">
        <is>
          <t>Propuso Google Trends y la API de vistas de Wikipedia</t>
        </is>
      </c>
      <c r="E4" s="9" t="inlineStr">
        <is>
          <t>Probamos las dos: Google Trends no tiene API abierta ni licencia de reutilización; la de Wikipedia respondió con curl y declara CC0</t>
        </is>
      </c>
      <c r="F4" s="9" t="inlineStr">
        <is>
          <t>Parcial</t>
        </is>
      </c>
      <c r="G4" s="9" t="inlineStr">
        <is>
          <t>F01</t>
        </is>
      </c>
      <c r="H4" s="9" t="inlineStr">
        <is>
          <t>Que la IA nombre una fuente no quiere decir que se pueda usar: la licencia y el acceso se comprueban uno mismo.</t>
        </is>
      </c>
    </row>
    <row r="5">
      <c r="A5" s="10" t="n">
        <v>1</v>
      </c>
      <c r="B5" s="10" t="inlineStr">
        <is>
          <t>Claude Code (Claude Sonnet 5.5)</t>
        </is>
      </c>
      <c r="C5" s="10" t="inlineStr">
        <is>
          <t>Encontrar el portal de datos abiertos de Buenos Aires y su API</t>
        </is>
      </c>
      <c r="D5" s="10" t="inlineStr">
        <is>
          <t>BA Data en CKAN; la API está bajo /km/api/3/action</t>
        </is>
      </c>
      <c r="E5" s="10" t="inlineStr">
        <is>
          <t>package_search respondió con 455 conjuntos</t>
        </is>
      </c>
      <c r="F5" s="10" t="inlineStr">
        <is>
          <t>Correcto</t>
        </is>
      </c>
      <c r="G5" s="10" t="inlineStr">
        <is>
          <t>F30</t>
        </is>
      </c>
      <c r="H5" s="10" t="inlineStr">
        <is>
          <t>Antes de confiar en una API hay que ver que el endpoint sigue vigente: la ruta cambió (/km/).</t>
        </is>
      </c>
    </row>
    <row r="6">
      <c r="A6" s="10" t="n">
        <v>2</v>
      </c>
      <c r="B6" s="10" t="inlineStr">
        <is>
          <t>Claude Code (Claude Sonnet 5.5)</t>
        </is>
      </c>
      <c r="C6" s="10" t="inlineStr">
        <is>
          <t>Contar las estaciones de subte</t>
        </is>
      </c>
      <c r="D6" s="10" t="inlineStr">
        <is>
          <t>Primero dio 48 estaciones</t>
        </is>
      </c>
      <c r="E6" s="10" t="inlineStr">
        <is>
          <t>Se abrió el CSV: 48 eran filas año×línea de pasajeros; las estaciones son 90 pares estación-línea (88 nombres)</t>
        </is>
      </c>
      <c r="F6" s="10" t="inlineStr">
        <is>
          <t>Incorrecto</t>
        </is>
      </c>
      <c r="G6" s="10" t="inlineStr">
        <is>
          <t>F24</t>
        </is>
      </c>
      <c r="H6" s="10" t="inlineStr">
        <is>
          <t>Un número redondo y verosímil también puede ser el conteo de otra cosa: mirar qué es cada fila.</t>
        </is>
      </c>
    </row>
    <row r="7">
      <c r="A7" s="10" t="n">
        <v>3</v>
      </c>
      <c r="B7" s="10" t="inlineStr">
        <is>
          <t>Claude Code (Claude Sonnet 5.5)</t>
        </is>
      </c>
      <c r="C7" s="10" t="inlineStr">
        <is>
          <t>Curar la calidad del aire</t>
        </is>
      </c>
      <c r="D7" s="10" t="inlineStr">
        <is>
          <t>Etiquetó todo en µg/m³</t>
        </is>
      </c>
      <c r="E7" s="10" t="inlineStr">
        <is>
          <t>Se revisó la documentación del conjunto: CO va en ppm y NO2 en ppb</t>
        </is>
      </c>
      <c r="F7" s="10" t="inlineStr">
        <is>
          <t>Incorrecto</t>
        </is>
      </c>
      <c r="G7" s="10" t="inlineStr">
        <is>
          <t>F18</t>
        </is>
      </c>
      <c r="H7" s="10" t="inlineStr">
        <is>
          <t>Las unidades se comprueban en la fuente, no se suponen por costumbre.</t>
        </is>
      </c>
    </row>
    <row r="8">
      <c r="A8" s="10" t="n">
        <v>4</v>
      </c>
      <c r="B8" s="10" t="inlineStr">
        <is>
          <t>Claude Code (Claude Sonnet 5.5)</t>
        </is>
      </c>
      <c r="C8" s="10" t="inlineStr">
        <is>
          <t>Contar filas del presupuesto</t>
        </is>
      </c>
      <c r="D8" s="10" t="inlineStr">
        <is>
          <t>34.836 filas</t>
        </is>
      </c>
      <c r="E8" s="10" t="inlineStr">
        <is>
          <t>Se encontró una fila vacía contada como dato: 34.835</t>
        </is>
      </c>
      <c r="F8" s="10" t="inlineStr">
        <is>
          <t>Parcial</t>
        </is>
      </c>
      <c r="G8" s="10" t="inlineStr">
        <is>
          <t>F06</t>
        </is>
      </c>
      <c r="H8" s="10" t="inlineStr">
        <is>
          <t>Los conteos deben ignorar filas vacías; ahora lo hace leer_csv.</t>
        </is>
      </c>
    </row>
    <row r="9">
      <c r="A9" s="10" t="n">
        <v>5</v>
      </c>
      <c r="B9" s="10" t="inlineStr">
        <is>
          <t>Claude Code (Claude Sonnet 5.5)</t>
        </is>
      </c>
      <c r="C9" s="10" t="inlineStr">
        <is>
          <t>Reemplazar la población por el Censo 2022</t>
        </is>
      </c>
      <c r="D9" s="10" t="inlineStr">
        <is>
          <t>Encontró el informe 1877 de Estadística Ciudad con población por comuna</t>
        </is>
      </c>
      <c r="E9" s="10" t="inlineStr">
        <is>
          <t>Se transcribió el cuadro C.1 y la suma de las 15 comunas dio el total oficial (3.121.707)</t>
        </is>
      </c>
      <c r="F9" s="10" t="inlineStr">
        <is>
          <t>Correcto</t>
        </is>
      </c>
      <c r="G9" s="10" t="inlineStr">
        <is>
          <t>F04</t>
        </is>
      </c>
      <c r="H9" s="10" t="inlineStr">
        <is>
          <t>Un PDF sirve si se marca como «declarado» y se verifica contra un total.</t>
        </is>
      </c>
    </row>
    <row r="10">
      <c r="A10" s="10" t="n">
        <v>6</v>
      </c>
      <c r="B10" s="10" t="inlineStr">
        <is>
          <t>Claude Code (Claude Sonnet 5.5)</t>
        </is>
      </c>
      <c r="C10" s="10" t="inlineStr">
        <is>
          <t>Conseguir población 2022 por barrio</t>
        </is>
      </c>
      <c r="D10" s="10" t="inlineStr">
        <is>
          <t>Propuso los radios censales de BA Data como vía</t>
        </is>
      </c>
      <c r="E10" s="10" t="inlineStr">
        <is>
          <t>Al abrir el conjunto: solo hay radios 2001 y 2010</t>
        </is>
      </c>
      <c r="F10" s="10" t="inlineStr">
        <is>
          <t>Incorrecto</t>
        </is>
      </c>
      <c r="G10" s="10" t="inlineStr"/>
      <c r="H10" s="10" t="inlineStr">
        <is>
          <t>Que exista un conjunto con el nombre correcto no quiere decir que tenga el año que se necesita.</t>
        </is>
      </c>
    </row>
    <row r="11">
      <c r="A11" s="10" t="n">
        <v>7</v>
      </c>
      <c r="B11" s="10" t="inlineStr">
        <is>
          <t>Claude Code (Claude Sonnet 5.5)</t>
        </is>
      </c>
      <c r="C11" s="10" t="inlineStr">
        <is>
          <t>Buscar una fuente de edificios en 3D</t>
        </is>
      </c>
      <c r="D11" s="10" t="inlineStr">
        <is>
          <t>Tejido Urbano (alturas), Edificios Públicos 3D (LIDAR) y Área edificable</t>
        </is>
      </c>
      <c r="E11" s="10" t="inlineStr">
        <is>
          <t>Se miraron tamaños y campos con descargas parciales: solo el Tejido trae alturas de toda la ciudad</t>
        </is>
      </c>
      <c r="F11" s="10" t="inlineStr">
        <is>
          <t>Correcto</t>
        </is>
      </c>
      <c r="G11" s="10" t="inlineStr">
        <is>
          <t>F15</t>
        </is>
      </c>
      <c r="H11" s="10" t="inlineStr">
        <is>
          <t>«3D» puede ser alturas, nubes LIDAR o volumen permitido: tres cosas distintas.</t>
        </is>
      </c>
    </row>
    <row r="12">
      <c r="A12" s="10" t="n">
        <v>8</v>
      </c>
      <c r="B12" s="10" t="inlineStr">
        <is>
          <t>Claude Code (Claude Sonnet 5.5)</t>
        </is>
      </c>
      <c r="C12" s="10" t="inlineStr">
        <is>
          <t>Explicar por qué los sensores en vivo no entraban</t>
        </is>
      </c>
      <c r="D12" s="10" t="inlineStr">
        <is>
          <t>Dijo que la API pedía credenciales</t>
        </is>
      </c>
      <c r="E12" s="10" t="inlineStr">
        <is>
          <t>El 2026-10-06 la ficha del portal dice que las API y GTFS están suspendidas</t>
        </is>
      </c>
      <c r="F12" s="10" t="inlineStr">
        <is>
          <t>Parcial</t>
        </is>
      </c>
      <c r="G12" s="10" t="inlineStr"/>
      <c r="H12" s="10" t="inlineStr">
        <is>
          <t>La causa de un hueco también se verifica: el motivo anotado era otro.</t>
        </is>
      </c>
    </row>
    <row r="13">
      <c r="A13" s="10" t="n">
        <v>9</v>
      </c>
      <c r="B13" s="10" t="inlineStr">
        <is>
          <t>Claude Code (Claude Opus 5.5)</t>
        </is>
      </c>
      <c r="C13" s="10" t="inlineStr">
        <is>
          <t>Buscar ocupación hotelera de CABA</t>
        </is>
      </c>
      <c r="D13" s="10" t="inlineStr">
        <is>
          <t>No estaba en BA Data; encontró la EOH (INDEC/Turismo) en la API de series de datos.gob.ar</t>
        </is>
      </c>
      <c r="E13" s="10" t="inlineStr">
        <is>
          <t>Se bajaron las series: residentes + no residentes = total en cada mes</t>
        </is>
      </c>
      <c r="F13" s="10" t="inlineStr">
        <is>
          <t>Correcto</t>
        </is>
      </c>
      <c r="G13" s="10" t="inlineStr">
        <is>
          <t>F11</t>
        </is>
      </c>
      <c r="H13" s="10" t="inlineStr">
        <is>
          <t>Salir del portal de la ciudad bajó la dependencia de un solo proveedor.</t>
        </is>
      </c>
    </row>
    <row r="14">
      <c r="A14" s="10" t="n">
        <v>10</v>
      </c>
      <c r="B14" s="10" t="inlineStr">
        <is>
          <t>Claude Code (Claude Opus 5.5)</t>
        </is>
      </c>
      <c r="C14" s="10" t="inlineStr">
        <is>
          <t>Sumar los montos del presupuesto y describir el gasto por comuna</t>
        </is>
      </c>
      <c r="D14" s="10" t="inlineStr">
        <is>
          <t>Escribió que el gasto se concentraba en la Comuna 1</t>
        </is>
      </c>
      <c r="E14" s="10" t="inlineStr">
        <is>
          <t>Los datos mostraron que la comuna con más gasto imputado es la 4</t>
        </is>
      </c>
      <c r="F14" s="10" t="inlineStr">
        <is>
          <t>Incorrecto</t>
        </is>
      </c>
      <c r="G14" s="10" t="inlineStr">
        <is>
          <t>F06</t>
        </is>
      </c>
      <c r="H14" s="10" t="inlineStr">
        <is>
          <t>Una nota escrita antes de ver los datos es una suposición: se escribe después.</t>
        </is>
      </c>
    </row>
    <row r="15">
      <c r="A15" s="10" t="n">
        <v>11</v>
      </c>
      <c r="B15" s="10" t="inlineStr">
        <is>
          <t>Claude Code (Claude Opus 5.5)</t>
        </is>
      </c>
      <c r="C15" s="10" t="inlineStr">
        <is>
          <t>Leer los 26 CSV de molinetes 2025</t>
        </is>
      </c>
      <c r="D15" s="10" t="inlineStr">
        <is>
          <t>Primer parser con fecha d/m</t>
        </is>
      </c>
      <c r="E15" s="10" t="inlineStr">
        <is>
          <t>Falló: agosto mezcla d/m y m/d; marzo trae «;» sobrantes; enero 82 mil líneas vacías; un molinete «Prueba»</t>
        </is>
      </c>
      <c r="F15" s="10" t="inlineStr">
        <is>
          <t>Parcial</t>
        </is>
      </c>
      <c r="G15" s="10" t="inlineStr">
        <is>
          <t>F25</t>
        </is>
      </c>
      <c r="H15" s="10" t="inlineStr">
        <is>
          <t>Validar cada fila contra el mes del archivo destapó errores que la suma no mostraba.</t>
        </is>
      </c>
    </row>
    <row r="16">
      <c r="A16" s="10" t="n">
        <v>12</v>
      </c>
      <c r="B16" s="10" t="inlineStr">
        <is>
          <t>Claude Code (Claude Opus 5.5)</t>
        </is>
      </c>
      <c r="C16" s="10" t="inlineStr">
        <is>
          <t>Cruzar alturas del Tejido con barrios</t>
        </is>
      </c>
      <c r="D16" s="10" t="inlineStr">
        <is>
          <t>Primer resultado: altura máxima 830 m</t>
        </is>
      </c>
      <c r="E16" s="10" t="inlineStr">
        <is>
          <t>Imposible (la torre más alta ronda los 235 m): eran 2 registros especiales; además una Ñ doblemente codificada rompía el cruce</t>
        </is>
      </c>
      <c r="F16" s="10" t="inlineStr">
        <is>
          <t>Parcial</t>
        </is>
      </c>
      <c r="G16" s="10" t="inlineStr">
        <is>
          <t>F15</t>
        </is>
      </c>
      <c r="H16" s="10" t="inlineStr">
        <is>
          <t>Comparar el máximo con un dato conocido del mundo real es una prueba barata.</t>
        </is>
      </c>
    </row>
    <row r="17">
      <c r="A17" s="10" t="n">
        <v>13</v>
      </c>
      <c r="B17" s="10" t="inlineStr">
        <is>
          <t>Claude Code (Claude Opus 5.5)</t>
        </is>
      </c>
      <c r="C17" s="10" t="inlineStr">
        <is>
          <t>Nombrar estaciones de molinetes como en la capa geo</t>
        </is>
      </c>
      <c r="D17" s="10" t="inlineStr">
        <is>
          <t>Normalización + alias</t>
        </is>
      </c>
      <c r="E17" s="10" t="inlineStr">
        <is>
          <t>Se revisaron a mano las 104 correspondencias: todas correctas; faltaba «C. Pellegrini»</t>
        </is>
      </c>
      <c r="F17" s="10" t="inlineStr">
        <is>
          <t>Correcto</t>
        </is>
      </c>
      <c r="G17" s="10" t="inlineStr">
        <is>
          <t>F25</t>
        </is>
      </c>
      <c r="H17" s="10" t="inlineStr">
        <is>
          <t>Las correspondencias automáticas se revisan una por una cuando son pocas.</t>
        </is>
      </c>
    </row>
    <row r="18">
      <c r="A18" s="10" t="n">
        <v>14</v>
      </c>
      <c r="B18" s="10" t="inlineStr">
        <is>
          <t>Claude Code (Claude Opus 5.5)</t>
        </is>
      </c>
      <c r="C18" s="10" t="inlineStr">
        <is>
          <t>Proponer fuentes para llegar a 30 sin inventar</t>
        </is>
      </c>
      <c r="D18" s="10" t="inlineStr">
        <is>
          <t>IPCBA, SIPA, Open-Meteo, CESAC, EcoBici, paradas y puntos verdes</t>
        </is>
      </c>
      <c r="E18" s="10" t="inlineStr">
        <is>
          <t>Cada una se consultó con el script real; puntos verdes rebotó por límite de peticiones y se reintentó</t>
        </is>
      </c>
      <c r="F18" s="10" t="inlineStr">
        <is>
          <t>Correcto</t>
        </is>
      </c>
      <c r="G18" s="10" t="inlineStr">
        <is>
          <t>F08</t>
        </is>
      </c>
      <c r="H18" s="10" t="inlineStr">
        <is>
          <t>Contar conjuntos no es contar proveedores: 24 de 30 siguen siendo de BA Data.</t>
        </is>
      </c>
    </row>
    <row r="19">
      <c r="A19" s="10" t="n">
        <v>15</v>
      </c>
      <c r="B19" s="10" t="inlineStr">
        <is>
          <t>Claude Code (Claude Opus 5.5)</t>
        </is>
      </c>
      <c r="C19" s="10" t="inlineStr">
        <is>
          <t>Asignar barrio a EcoBici y paradas</t>
        </is>
      </c>
      <c r="D19" s="10" t="inlineStr">
        <is>
          <t>Detectó que EcoBici trae el barrio vacío y las paradas con erratas</t>
        </is>
      </c>
      <c r="E19" s="10" t="inlineStr">
        <is>
          <t>Punto en polígono: solo 2 estaciones y 7 paradas quedan en el borde</t>
        </is>
      </c>
      <c r="F19" s="10" t="inlineStr">
        <is>
          <t>Correcto</t>
        </is>
      </c>
      <c r="G19" s="10" t="inlineStr">
        <is>
          <t>F26</t>
        </is>
      </c>
      <c r="H19" s="10" t="inlineStr">
        <is>
          <t>Un campo «barrio» presente no garantiza que tenga datos.</t>
        </is>
      </c>
    </row>
    <row r="20">
      <c r="A20" s="10" t="n">
        <v>16</v>
      </c>
      <c r="B20" s="10" t="inlineStr">
        <is>
          <t>Claude Code (Claude Opus 5.5)</t>
        </is>
      </c>
      <c r="C20" s="10" t="inlineStr">
        <is>
          <t>Normalizar los kilos de RAEE</t>
        </is>
      </c>
      <c r="D20" s="10" t="inlineStr">
        <is>
          <t>Regla de coma de miles</t>
        </is>
      </c>
      <c r="E20" s="10" t="inlineStr">
        <is>
          <t>Falló: la columna mezcla coma decimal y de miles; 7 valores con erratas o ambiguos</t>
        </is>
      </c>
      <c r="F20" s="10" t="inlineStr">
        <is>
          <t>Parcial</t>
        </is>
      </c>
      <c r="G20" s="10" t="inlineStr">
        <is>
          <t>F20</t>
        </is>
      </c>
      <c r="H20" s="10" t="inlineStr">
        <is>
          <t>Ante un valor ambiguo («4,033») no se adivina: queda sin dato y se cuenta.</t>
        </is>
      </c>
    </row>
    <row r="21">
      <c r="A21" s="10" t="n">
        <v>17</v>
      </c>
      <c r="B21" s="10" t="inlineStr">
        <is>
          <t>Claude Code (Claude Opus 5.5)</t>
        </is>
      </c>
      <c r="C21" s="10" t="inlineStr">
        <is>
          <t>Estimar cuánto pesaría lago/raw después de comprimir</t>
        </is>
      </c>
      <c r="D21" s="10" t="inlineStr">
        <is>
          <t>Unos 60 MB</t>
        </is>
      </c>
      <c r="E21" s="10" t="inlineStr">
        <is>
          <t>Midió 108 MB: subestimó los molinetes (79 MB ya comprimidos)</t>
        </is>
      </c>
      <c r="F21" s="10" t="inlineStr">
        <is>
          <t>Incorrecto</t>
        </is>
      </c>
      <c r="G21" s="10" t="inlineStr"/>
      <c r="H21" s="10" t="inlineStr">
        <is>
          <t>Las estimaciones se miden después y se corrigen en voz alta.</t>
        </is>
      </c>
    </row>
    <row r="22">
      <c r="A22" s="10" t="n">
        <v>18</v>
      </c>
      <c r="B22" s="10" t="inlineStr">
        <is>
          <t>Claude Code (Claude Opus 5.5)</t>
        </is>
      </c>
      <c r="C22" s="10" t="inlineStr">
        <is>
          <t>Recontar los temas del lago para el README</t>
        </is>
      </c>
      <c r="D22" s="10" t="inlineStr">
        <is>
          <t>Escribió 23 temas</t>
        </is>
      </c>
      <c r="E22" s="10" t="inlineStr">
        <is>
          <t>ls lago/*.json da 22</t>
        </is>
      </c>
      <c r="F22" s="10" t="inlineStr">
        <is>
          <t>Incorrecto</t>
        </is>
      </c>
      <c r="G22" s="10" t="inlineStr"/>
      <c r="H22" s="10" t="inlineStr">
        <is>
          <t>Las cifras de la prosa se calculan, no se escriben de memoria (regla 4 de las vistas).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</sheetData>
  <dataValidations count="1">
    <dataValidation sqref="F5:F200" showDropDown="0" showInputMessage="0" showErrorMessage="0" allowBlank="1" error="Elijan una opción de la lista" type="list">
      <formula1>"Correcto,Parcial,Incorrecto,Inventado"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8.83203125" defaultRowHeight="15"/>
  <cols>
    <col width="48" customWidth="1" min="1" max="1"/>
    <col width="14" customWidth="1" min="2" max="2"/>
  </cols>
  <sheetData>
    <row r="1" ht="18" customHeight="1">
      <c r="A1" s="6" t="inlineStr">
        <is>
          <t>Resumen del lago</t>
        </is>
      </c>
    </row>
    <row r="2">
      <c r="A2" s="7" t="inlineStr">
        <is>
          <t>Se calcula solo desde las otras hojas; no cuenta las filas de ejemplo (fila 4).</t>
        </is>
      </c>
    </row>
    <row r="3"/>
    <row r="4">
      <c r="A4" s="11" t="inlineStr">
        <is>
          <t>Fuentes registradas</t>
        </is>
      </c>
      <c r="B4" s="12">
        <f>COUNTA('1. Fuentes'!A5:A200)</f>
        <v/>
      </c>
    </row>
    <row r="5">
      <c r="A5" s="13" t="inlineStr">
        <is>
          <t xml:space="preserve">  · integradas al lago</t>
        </is>
      </c>
      <c r="B5" s="12">
        <f>COUNTIF('1. Fuentes'!N5:N200,"Integrada al lago")</f>
        <v/>
      </c>
    </row>
    <row r="6">
      <c r="A6" s="13" t="inlineStr">
        <is>
          <t xml:space="preserve">  · candidatas</t>
        </is>
      </c>
      <c r="B6" s="12">
        <f>COUNTIF('1. Fuentes'!N5:N200,"Candidata")</f>
        <v/>
      </c>
    </row>
    <row r="7">
      <c r="A7" s="13" t="inlineStr">
        <is>
          <t xml:space="preserve">  · que no responden</t>
        </is>
      </c>
      <c r="B7" s="12">
        <f>COUNTIF('1. Fuentes'!N5:N200,"No responde")</f>
        <v/>
      </c>
    </row>
    <row r="8">
      <c r="A8" s="13" t="inlineStr">
        <is>
          <t xml:space="preserve">  · que no existen (inventadas por la IA)</t>
        </is>
      </c>
      <c r="B8" s="12">
        <f>COUNTIF('1. Fuentes'!N5:N200,"No existe (la inventó la IA)")</f>
        <v/>
      </c>
    </row>
    <row r="9">
      <c r="A9" s="13" t="inlineStr">
        <is>
          <t xml:space="preserve">  · descartadas</t>
        </is>
      </c>
      <c r="B9" s="12">
        <f>COUNTIF('1. Fuentes'!N5:N200,"Descartada")</f>
        <v/>
      </c>
    </row>
    <row r="10">
      <c r="A10" s="11" t="inlineStr">
        <is>
          <t>Fuentes con licencia «no declara» o vacía</t>
        </is>
      </c>
      <c r="B10" s="12">
        <f>COUNTIF('1. Fuentes'!H5:H200,"no declara")+COUNTIFS('1. Fuentes'!A5:A200,"&lt;&gt;",'1. Fuentes'!H5:H200,"")</f>
        <v/>
      </c>
    </row>
    <row r="11">
      <c r="A11" s="11" t="inlineStr">
        <is>
          <t>Fuentes con personas identificables o texto libre</t>
        </is>
      </c>
      <c r="B11" s="12">
        <f>COUNTIF('1. Fuentes'!I5:I200,"Personas identificables")+COUNTIF('1. Fuentes'!I5:I200,"Texto libre sin revisar")</f>
        <v/>
      </c>
    </row>
    <row r="12">
      <c r="A12" s="11" t="inlineStr">
        <is>
          <t>Campos en el diccionario</t>
        </is>
      </c>
      <c r="B12" s="12">
        <f>COUNTA('2. Diccionario'!C5:C200)</f>
        <v/>
      </c>
    </row>
    <row r="13">
      <c r="A13" s="13" t="inlineStr">
        <is>
          <t xml:space="preserve">  · clasificados como sensibles o dato personal</t>
        </is>
      </c>
      <c r="B13" s="12">
        <f>COUNTIF('2. Diccionario'!K5:K200,"Sensible")+COUNTIF('2. Diccionario'!K5:K200,"Dato personal")</f>
        <v/>
      </c>
    </row>
    <row r="14">
      <c r="A14" s="13" t="inlineStr">
        <is>
          <t xml:space="preserve">  · sin pregunta del sistema asociada</t>
        </is>
      </c>
      <c r="B14" s="12">
        <f>COUNTIFS('2. Diccionario'!C5:C200,"&lt;&gt;",'2. Diccionario'!M5:M200,"")</f>
        <v/>
      </c>
    </row>
    <row r="15">
      <c r="A15" s="11" t="inlineStr">
        <is>
          <t>Encargos a la IA registrados</t>
        </is>
      </c>
      <c r="B15" s="12">
        <f>COUNTA('3. Bitácora IA'!C5:C200)</f>
        <v/>
      </c>
    </row>
    <row r="16">
      <c r="A16" s="13" t="inlineStr">
        <is>
          <t xml:space="preserve">  · con respuesta incorrecta o inventada</t>
        </is>
      </c>
      <c r="B16" s="12">
        <f>COUNTIF('3. Bitácora IA'!F5:F200,"Incorrecto")+COUNTIF('3. Bitácora IA'!F5:F200,"Inventado")</f>
        <v/>
      </c>
    </row>
    <row r="17">
      <c r="A17" s="11" t="inlineStr">
        <is>
          <t>Porcentaje de aciertos plenos de la IA</t>
        </is>
      </c>
      <c r="B17" s="14">
        <f>IF(B15=0,"-",COUNTIF('3. Bitácora IA'!F5:F200,"Correcto")/B15)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2026-09-28T11:22:59Z</dcterms:created>
  <dcterms:modified xsi:type="dcterms:W3CDTF">2026-10-07T02:25:15Z</dcterms:modified>
  <cp:lastModifiedBy>Santiago Jimenez Londono</cp:lastModifiedBy>
</cp:coreProperties>
</file>