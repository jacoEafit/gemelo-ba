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ntiagojl/Downloads/TallerDatos_Entrega1/"/>
    </mc:Choice>
  </mc:AlternateContent>
  <xr:revisionPtr revIDLastSave="0" documentId="11_F7D3682A2B8B9D93A85BC6D21C11CF324F237238" xr6:coauthVersionLast="47" xr6:coauthVersionMax="47" xr10:uidLastSave="{00000000-0000-0000-0000-000000000000}"/>
  <bookViews>
    <workbookView xWindow="0" yWindow="780" windowWidth="36000" windowHeight="21620" xr2:uid="{00000000-000D-0000-FFFF-FFFF00000000}"/>
  </bookViews>
  <sheets>
    <sheet name="Instrucciones" sheetId="1" r:id="rId1"/>
    <sheet name="1. Fuentes" sheetId="2" r:id="rId2"/>
    <sheet name="2. Diccionario" sheetId="3" r:id="rId3"/>
    <sheet name="3. Bitácora IA" sheetId="4" r:id="rId4"/>
    <sheet name="Resum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17" i="5" s="1"/>
  <c r="B14" i="5"/>
  <c r="B13" i="5"/>
  <c r="B12" i="5"/>
  <c r="B11" i="5"/>
  <c r="B10" i="5"/>
  <c r="B9" i="5"/>
  <c r="B8" i="5"/>
  <c r="B7" i="5"/>
  <c r="B6" i="5"/>
  <c r="B5" i="5"/>
  <c r="B4" i="5"/>
</calcChain>
</file>

<file path=xl/sharedStrings.xml><?xml version="1.0" encoding="utf-8"?>
<sst xmlns="http://schemas.openxmlformats.org/spreadsheetml/2006/main" count="114" uniqueCount="110">
  <si>
    <t>Taller de datos · Entrega 1 · El lago y su diccionario</t>
  </si>
  <si>
    <t>Tópicos de Sistemas de Información · Profesor Santiago Jiménez Londoño · topicos-si.vercel.app/Tallerdatos</t>
  </si>
  <si>
    <t>Datos del grupo</t>
  </si>
  <si>
    <t>Ciudad elegida:</t>
  </si>
  <si>
    <t>Integrantes:</t>
  </si>
  <si>
    <t>Enlace al repositorio o a la carpeta del lago:</t>
  </si>
  <si>
    <t>Qué entregan en este archivo</t>
  </si>
  <si>
    <t>1. Fuentes · una fila por cada fuente que encontraron en el rastreo, entre o no al lago. Las descartadas también cuentan: explican las decisiones.</t>
  </si>
  <si>
    <t>2. Diccionario · una fila por cada campo (columna o clave del JSON) que quedó en el lago. Si un campo no está aquí, no existe.</t>
  </si>
  <si>
    <t>3. Bitácora IA · qué le encargaron a la IA durante la búsqueda, qué respondió y cómo lo comprobaron.</t>
  </si>
  <si>
    <t>Resumen · se llena solo con fórmulas. No lo editen.</t>
  </si>
  <si>
    <t>Cómo llenarlo</t>
  </si>
  <si>
    <t>• Escriban solo en las celdas amarillas. La fila gris de cada hoja es un ejemplo (Medellín): pueden borrarla o dejarla, el resumen no la cuenta.</t>
  </si>
  <si>
    <t>• El ID de fuente (F01, F02…) une las tres hojas: úsenlo igual en Fuentes, Diccionario y Bitácora IA.</t>
  </si>
  <si>
    <t>• Las columnas con lista desplegable solo aceptan esas opciones.</t>
  </si>
  <si>
    <t>• La licencia se copia tal como aparece en la fuente. Si la fuente no dice nada, escriban «no declara»: no la supongan.</t>
  </si>
  <si>
    <t>• «Fecha en que la probaron» es el día en que la descarga o la API respondió de verdad, no el día en que la IA la mencionó.</t>
  </si>
  <si>
    <t>• Una fuente que la IA nombró y que ustedes no pudieron abrir va igual en Fuentes, con estado «No responde» o «No existe».</t>
  </si>
  <si>
    <t>1. Catálogo de fuentes</t>
  </si>
  <si>
    <t>Una fila por fuente encontrada. Escriban en las celdas amarillas; la fila gris es un ejemplo.</t>
  </si>
  <si>
    <t>ID fuente</t>
  </si>
  <si>
    <t>Nombre del conjunto de datos</t>
  </si>
  <si>
    <t>Entidad que lo publica</t>
  </si>
  <si>
    <t>Tipo de publicador</t>
  </si>
  <si>
    <t>URL exacta (descarga o API)</t>
  </si>
  <si>
    <t>Formato</t>
  </si>
  <si>
    <t>Cómo se obtiene</t>
  </si>
  <si>
    <t>Licencia (tal como aparece)</t>
  </si>
  <si>
    <t>¿Trae datos de personas?</t>
  </si>
  <si>
    <t>Cobertura geográfica</t>
  </si>
  <si>
    <t>Periodo que cubre</t>
  </si>
  <si>
    <t>Frecuencia de actualización</t>
  </si>
  <si>
    <t>Fecha en que la probaron (AAAA-MM-DD)</t>
  </si>
  <si>
    <t>Estado</t>
  </si>
  <si>
    <t>Cómo la encontraron (IA o búsqueda)</t>
  </si>
  <si>
    <t>Observaciones</t>
  </si>
  <si>
    <t>F01</t>
  </si>
  <si>
    <t>Vistas mensuales del artículo «Medellín» en Wikipedia</t>
  </si>
  <si>
    <t>Wikimedia Foundation</t>
  </si>
  <si>
    <t>Plataforma colaborativa</t>
  </si>
  <si>
    <t>https://wikimedia.org/api/rest_v1/metrics/pageviews/per-article/es.wikipedia/all-access/user/Medellín/monthly/20250101/20260831</t>
  </si>
  <si>
    <t>JSON</t>
  </si>
  <si>
    <t>API sin llave</t>
  </si>
  <si>
    <t>CC0</t>
  </si>
  <si>
    <t>No</t>
  </si>
  <si>
    <t>Ciudad (artículo)</t>
  </si>
  <si>
    <t>2025-01 a 2026-08</t>
  </si>
  <si>
    <t>Mensual</t>
  </si>
  <si>
    <t>2026-09-14</t>
  </si>
  <si>
    <t>Integrada al lago</t>
  </si>
  <si>
    <t>Se la pedimos a la IA como «fuente de interés público sobre la ciudad»; la probamos con curl</t>
  </si>
  <si>
    <t>Cuenta personas, no bots (agente «user»).</t>
  </si>
  <si>
    <t>2. Diccionario de datos</t>
  </si>
  <si>
    <t>Una fila por campo que quedó en el lago. Si un campo del lago no aparece aquí, no existe.</t>
  </si>
  <si>
    <t>Archivo o tabla en el lago</t>
  </si>
  <si>
    <t>Nombre del campo en el lago</t>
  </si>
  <si>
    <t>Nombre original en la fuente</t>
  </si>
  <si>
    <t>Qué significa (en una frase)</t>
  </si>
  <si>
    <t>Tipo de dato</t>
  </si>
  <si>
    <t>Unidad de medida</t>
  </si>
  <si>
    <t>Ejemplo de valor</t>
  </si>
  <si>
    <t>¿Puede venir vacío?</t>
  </si>
  <si>
    <t>Valores permitidos o rango</t>
  </si>
  <si>
    <t>Clasificación</t>
  </si>
  <si>
    <t>Transformación que le hicieron</t>
  </si>
  <si>
    <t>Pregunta del sistema que ayuda a responder</t>
  </si>
  <si>
    <t>lago/escucha.json</t>
  </si>
  <si>
    <t>vistas_ultimo_mes</t>
  </si>
  <si>
    <t>views</t>
  </si>
  <si>
    <t>Vistas del artículo de la ciudad hechas por personas en el último mes completo</t>
  </si>
  <si>
    <t>Entero</t>
  </si>
  <si>
    <t>vistas de personas</t>
  </si>
  <si>
    <t>19552</t>
  </si>
  <si>
    <t>≥ 0</t>
  </si>
  <si>
    <t>Pública</t>
  </si>
  <si>
    <t>Se toma el último mes de la serie; la fecha AAAAMMDD se pasa a AAAA-MM</t>
  </si>
  <si>
    <t>¿Cuánto interés despierta la ciudad fuera de ella y cómo cambia en el año?</t>
  </si>
  <si>
    <t>3. Bitácora de la búsqueda con IA</t>
  </si>
  <si>
    <t>Qué le encargaron a la IA y qué pasó con lo que respondió. Incluyan los errores: valen tanto como los aciertos.</t>
  </si>
  <si>
    <t>#</t>
  </si>
  <si>
    <t>Herramienta de IA</t>
  </si>
  <si>
    <t>Qué le encargaron</t>
  </si>
  <si>
    <t>Qué respondió (resumen)</t>
  </si>
  <si>
    <t>Cómo lo comprobaron</t>
  </si>
  <si>
    <t>Resultado</t>
  </si>
  <si>
    <t>ID fuente que salió de ahí</t>
  </si>
  <si>
    <t>Qué aprendieron</t>
  </si>
  <si>
    <t>1</t>
  </si>
  <si>
    <t>Claude</t>
  </si>
  <si>
    <t>Encontrar una fuente abierta y sin llave que mida cuánto interés despierta Medellín fuera de la ciudad</t>
  </si>
  <si>
    <t>Propuso Google Trends y la API de vistas de Wikipedia</t>
  </si>
  <si>
    <t>Probamos las dos: Google Trends no tiene API abierta ni licencia de reutilización; la de Wikipedia respondió con curl y declara CC0</t>
  </si>
  <si>
    <t>Parcial</t>
  </si>
  <si>
    <t>Que la IA nombre una fuente no quiere decir que se pueda usar: la licencia y el acceso se comprueban uno mismo.</t>
  </si>
  <si>
    <t>Resumen del lago</t>
  </si>
  <si>
    <t>Se calcula solo desde las otras hojas; no cuenta las filas de ejemplo (fila 4).</t>
  </si>
  <si>
    <t>Fuentes registradas</t>
  </si>
  <si>
    <t xml:space="preserve">  · integradas al lago</t>
  </si>
  <si>
    <t xml:space="preserve">  · candidatas</t>
  </si>
  <si>
    <t xml:space="preserve">  · que no responden</t>
  </si>
  <si>
    <t xml:space="preserve">  · que no existen (inventadas por la IA)</t>
  </si>
  <si>
    <t xml:space="preserve">  · descartadas</t>
  </si>
  <si>
    <t>Fuentes con licencia «no declara» o vacía</t>
  </si>
  <si>
    <t>Fuentes con personas identificables o texto libre</t>
  </si>
  <si>
    <t>Campos en el diccionario</t>
  </si>
  <si>
    <t xml:space="preserve">  · clasificados como sensibles o dato personal</t>
  </si>
  <si>
    <t xml:space="preserve">  · sin pregunta del sistema asociada</t>
  </si>
  <si>
    <t>Encargos a la IA registrados</t>
  </si>
  <si>
    <t xml:space="preserve">  · con respuesta incorrecta o inventada</t>
  </si>
  <si>
    <t>Porcentaje de aciertos plenos de la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</si>
</sst>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9"/>
      <color rgb="FF555555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F1F1F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0" fillId="0" borderId="0" xfId="0" applyFont="1"/>
    <xf numFmtId="0" fontId="9" fillId="0" borderId="1" xfId="0" applyFont="1" applyBorder="1"/>
    <xf numFmtId="0" fontId="9" fillId="0" borderId="0" xfId="0" applyFont="1"/>
    <xf numFmtId="9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tabSelected="1" workbookViewId="0"/>
  </sheetViews>
  <sheetFormatPr baseColWidth="10" defaultColWidth="8.83203125" defaultRowHeight="15" x14ac:dyDescent="0.2"/>
  <cols>
    <col min="1" max="1" width="4" customWidth="1"/>
    <col min="2" max="2" width="110" customWidth="1"/>
  </cols>
  <sheetData>
    <row r="1" spans="2:2" ht="19" x14ac:dyDescent="0.2">
      <c r="B1" s="1" t="s">
        <v>0</v>
      </c>
    </row>
    <row r="2" spans="2:2" x14ac:dyDescent="0.2">
      <c r="B2" s="2" t="s">
        <v>1</v>
      </c>
    </row>
    <row r="3" spans="2:2" x14ac:dyDescent="0.2">
      <c r="B3" s="3"/>
    </row>
    <row r="4" spans="2:2" ht="16" x14ac:dyDescent="0.2">
      <c r="B4" s="4" t="s">
        <v>2</v>
      </c>
    </row>
    <row r="5" spans="2:2" x14ac:dyDescent="0.2">
      <c r="B5" s="5" t="s">
        <v>3</v>
      </c>
    </row>
    <row r="6" spans="2:2" x14ac:dyDescent="0.2">
      <c r="B6" s="5" t="s">
        <v>4</v>
      </c>
    </row>
    <row r="7" spans="2:2" x14ac:dyDescent="0.2">
      <c r="B7" s="5" t="s">
        <v>5</v>
      </c>
    </row>
    <row r="8" spans="2:2" x14ac:dyDescent="0.2">
      <c r="B8" s="3"/>
    </row>
    <row r="9" spans="2:2" ht="16" x14ac:dyDescent="0.2">
      <c r="B9" s="4" t="s">
        <v>6</v>
      </c>
    </row>
    <row r="10" spans="2:2" ht="29" x14ac:dyDescent="0.2">
      <c r="B10" s="3" t="s">
        <v>7</v>
      </c>
    </row>
    <row r="11" spans="2:2" x14ac:dyDescent="0.2">
      <c r="B11" s="3" t="s">
        <v>8</v>
      </c>
    </row>
    <row r="12" spans="2:2" x14ac:dyDescent="0.2">
      <c r="B12" s="3" t="s">
        <v>9</v>
      </c>
    </row>
    <row r="13" spans="2:2" x14ac:dyDescent="0.2">
      <c r="B13" s="3" t="s">
        <v>10</v>
      </c>
    </row>
    <row r="14" spans="2:2" x14ac:dyDescent="0.2">
      <c r="B14" s="3"/>
    </row>
    <row r="15" spans="2:2" ht="16" x14ac:dyDescent="0.2">
      <c r="B15" s="4" t="s">
        <v>11</v>
      </c>
    </row>
    <row r="16" spans="2:2" ht="29" x14ac:dyDescent="0.2">
      <c r="B16" s="3" t="s">
        <v>12</v>
      </c>
    </row>
    <row r="17" spans="2:2" x14ac:dyDescent="0.2">
      <c r="B17" s="3" t="s">
        <v>13</v>
      </c>
    </row>
    <row r="18" spans="2:2" x14ac:dyDescent="0.2">
      <c r="B18" s="3" t="s">
        <v>14</v>
      </c>
    </row>
    <row r="19" spans="2:2" x14ac:dyDescent="0.2">
      <c r="B19" s="3" t="s">
        <v>15</v>
      </c>
    </row>
    <row r="20" spans="2:2" x14ac:dyDescent="0.2">
      <c r="B20" s="3" t="s">
        <v>16</v>
      </c>
    </row>
    <row r="21" spans="2:2" x14ac:dyDescent="0.2">
      <c r="B21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28" customWidth="1"/>
    <col min="3" max="3" width="22" customWidth="1"/>
    <col min="4" max="4" width="18" customWidth="1"/>
    <col min="5" max="5" width="36" customWidth="1"/>
    <col min="6" max="6" width="12" customWidth="1"/>
    <col min="7" max="7" width="18" customWidth="1"/>
    <col min="8" max="8" width="22" customWidth="1"/>
    <col min="9" max="9" width="18" customWidth="1"/>
    <col min="10" max="10" width="16" customWidth="1"/>
    <col min="11" max="13" width="14" customWidth="1"/>
    <col min="14" max="14" width="20" customWidth="1"/>
    <col min="15" max="15" width="26" customWidth="1"/>
    <col min="16" max="16" width="32" customWidth="1"/>
  </cols>
  <sheetData>
    <row r="1" spans="1:16" ht="18" x14ac:dyDescent="0.2">
      <c r="A1" s="6" t="s">
        <v>18</v>
      </c>
    </row>
    <row r="2" spans="1:16" x14ac:dyDescent="0.2">
      <c r="A2" s="7" t="s">
        <v>19</v>
      </c>
    </row>
    <row r="3" spans="1:16" ht="42" customHeight="1" x14ac:dyDescent="0.2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33</v>
      </c>
      <c r="O3" s="8" t="s">
        <v>34</v>
      </c>
      <c r="P3" s="8" t="s">
        <v>35</v>
      </c>
    </row>
    <row r="4" spans="1:16" ht="52" x14ac:dyDescent="0.2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44</v>
      </c>
      <c r="J4" s="9" t="s">
        <v>45</v>
      </c>
      <c r="K4" s="9" t="s">
        <v>46</v>
      </c>
      <c r="L4" s="9" t="s">
        <v>47</v>
      </c>
      <c r="M4" s="9" t="s">
        <v>48</v>
      </c>
      <c r="N4" s="9" t="s">
        <v>49</v>
      </c>
      <c r="O4" s="9" t="s">
        <v>50</v>
      </c>
      <c r="P4" s="9" t="s">
        <v>51</v>
      </c>
    </row>
    <row r="5" spans="1:16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</sheetData>
  <dataValidations count="6">
    <dataValidation type="list" allowBlank="1" error="Elijan una opción de la lista" sqref="D5:D44" xr:uid="{00000000-0002-0000-0100-000000000000}">
      <formula1>"Entidad pública,Academia u ONG,Plataforma colaborativa,Empresa privada,Medio de comunicación,No se sabe"</formula1>
    </dataValidation>
    <dataValidation type="list" allowBlank="1" error="Elijan una opción de la lista" sqref="F5:F44" xr:uid="{00000000-0002-0000-0100-000001000000}">
      <formula1>"CSV,JSON,XLSX,Parquet,GeoJSON,Shapefile,PDF,Página web,Otro"</formula1>
    </dataValidation>
    <dataValidation type="list" allowBlank="1" error="Elijan una opción de la lista" sqref="G5:G44" xr:uid="{00000000-0002-0000-0100-000002000000}">
      <formula1>"API sin llave,API con llave gratuita,Descarga directa,Solo PDF o página,Bloquea scripts o pide sesión"</formula1>
    </dataValidation>
    <dataValidation type="list" allowBlank="1" error="Elijan una opción de la lista" sqref="I5:I44" xr:uid="{00000000-0002-0000-0100-000003000000}">
      <formula1>"No,Solo conteos por zona,Personas identificables,Texto libre sin revisar"</formula1>
    </dataValidation>
    <dataValidation type="list" allowBlank="1" error="Elijan una opción de la lista" sqref="L5:L44" xr:uid="{00000000-0002-0000-0100-000004000000}">
      <formula1>"Tiempo real,Diaria,Mensual,Trimestral,Anual,Única vez,No se sabe"</formula1>
    </dataValidation>
    <dataValidation type="list" allowBlank="1" error="Elijan una opción de la lista" sqref="N5:N44" xr:uid="{00000000-0002-0000-0100-000005000000}">
      <formula1>"Integrada al lago,Candidata,No responde,No existe (la inventó la IA),Descartada"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22" customWidth="1"/>
    <col min="4" max="4" width="20" customWidth="1"/>
    <col min="5" max="5" width="36" customWidth="1"/>
    <col min="6" max="6" width="12" customWidth="1"/>
    <col min="7" max="7" width="16" customWidth="1"/>
    <col min="8" max="8" width="14" customWidth="1"/>
    <col min="9" max="9" width="11" customWidth="1"/>
    <col min="10" max="10" width="22" customWidth="1"/>
    <col min="11" max="11" width="16" customWidth="1"/>
    <col min="12" max="12" width="28" customWidth="1"/>
    <col min="13" max="13" width="32" customWidth="1"/>
  </cols>
  <sheetData>
    <row r="1" spans="1:13" ht="18" x14ac:dyDescent="0.2">
      <c r="A1" s="6" t="s">
        <v>52</v>
      </c>
    </row>
    <row r="2" spans="1:13" x14ac:dyDescent="0.2">
      <c r="A2" s="7" t="s">
        <v>53</v>
      </c>
    </row>
    <row r="3" spans="1:13" ht="42" customHeight="1" x14ac:dyDescent="0.2">
      <c r="A3" s="8" t="s">
        <v>20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  <c r="K3" s="8" t="s">
        <v>63</v>
      </c>
      <c r="L3" s="8" t="s">
        <v>64</v>
      </c>
      <c r="M3" s="8" t="s">
        <v>65</v>
      </c>
    </row>
    <row r="4" spans="1:13" ht="39" x14ac:dyDescent="0.2">
      <c r="A4" s="9" t="s">
        <v>36</v>
      </c>
      <c r="B4" s="9" t="s">
        <v>66</v>
      </c>
      <c r="C4" s="9" t="s">
        <v>67</v>
      </c>
      <c r="D4" s="9" t="s">
        <v>68</v>
      </c>
      <c r="E4" s="9" t="s">
        <v>69</v>
      </c>
      <c r="F4" s="9" t="s">
        <v>70</v>
      </c>
      <c r="G4" s="9" t="s">
        <v>71</v>
      </c>
      <c r="H4" s="9" t="s">
        <v>72</v>
      </c>
      <c r="I4" s="9" t="s">
        <v>44</v>
      </c>
      <c r="J4" s="9" t="s">
        <v>73</v>
      </c>
      <c r="K4" s="9" t="s">
        <v>74</v>
      </c>
      <c r="L4" s="9" t="s">
        <v>75</v>
      </c>
      <c r="M4" s="9" t="s">
        <v>76</v>
      </c>
    </row>
    <row r="5" spans="1:13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</sheetData>
  <dataValidations count="3">
    <dataValidation type="list" allowBlank="1" error="Elijan una opción de la lista" sqref="F5:F44" xr:uid="{00000000-0002-0000-0200-000000000000}">
      <formula1>"Texto,Entero,Decimal,Fecha,Booleano,Código,Coordenada / geometría"</formula1>
    </dataValidation>
    <dataValidation type="list" allowBlank="1" error="Elijan una opción de la lista" sqref="I5:I44" xr:uid="{00000000-0002-0000-0200-000001000000}">
      <formula1>"Sí,No"</formula1>
    </dataValidation>
    <dataValidation type="list" allowBlank="1" error="Elijan una opción de la lista" sqref="K5:K44" xr:uid="{00000000-0002-0000-0200-000002000000}">
      <formula1>"Pública,Interna,Sensible,Dato personal"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4" width="36" customWidth="1"/>
    <col min="5" max="5" width="30" customWidth="1"/>
    <col min="6" max="6" width="16" customWidth="1"/>
    <col min="7" max="7" width="12" customWidth="1"/>
    <col min="8" max="8" width="30" customWidth="1"/>
  </cols>
  <sheetData>
    <row r="1" spans="1:8" ht="18" x14ac:dyDescent="0.2">
      <c r="A1" s="6" t="s">
        <v>77</v>
      </c>
    </row>
    <row r="2" spans="1:8" x14ac:dyDescent="0.2">
      <c r="A2" s="7" t="s">
        <v>78</v>
      </c>
    </row>
    <row r="3" spans="1:8" ht="42" customHeight="1" x14ac:dyDescent="0.2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  <c r="H3" s="8" t="s">
        <v>86</v>
      </c>
    </row>
    <row r="4" spans="1:8" ht="52" x14ac:dyDescent="0.2">
      <c r="A4" s="9" t="s">
        <v>87</v>
      </c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36</v>
      </c>
      <c r="H4" s="9" t="s">
        <v>93</v>
      </c>
    </row>
    <row r="5" spans="1:8" x14ac:dyDescent="0.2">
      <c r="A5" s="10"/>
      <c r="B5" s="10"/>
      <c r="C5" s="10"/>
      <c r="D5" s="10"/>
      <c r="E5" s="10"/>
      <c r="F5" s="10"/>
      <c r="G5" s="10"/>
      <c r="H5" s="10"/>
    </row>
    <row r="6" spans="1:8" x14ac:dyDescent="0.2">
      <c r="A6" s="10"/>
      <c r="B6" s="10"/>
      <c r="C6" s="10"/>
      <c r="D6" s="10"/>
      <c r="E6" s="10"/>
      <c r="F6" s="10"/>
      <c r="G6" s="10"/>
      <c r="H6" s="10"/>
    </row>
    <row r="7" spans="1:8" x14ac:dyDescent="0.2">
      <c r="A7" s="10"/>
      <c r="B7" s="10"/>
      <c r="C7" s="10"/>
      <c r="D7" s="10"/>
      <c r="E7" s="10"/>
      <c r="F7" s="10"/>
      <c r="G7" s="10"/>
      <c r="H7" s="10"/>
    </row>
    <row r="8" spans="1:8" x14ac:dyDescent="0.2">
      <c r="A8" s="10"/>
      <c r="B8" s="10"/>
      <c r="C8" s="10"/>
      <c r="D8" s="10"/>
      <c r="E8" s="10"/>
      <c r="F8" s="10"/>
      <c r="G8" s="10"/>
      <c r="H8" s="10"/>
    </row>
    <row r="9" spans="1:8" x14ac:dyDescent="0.2">
      <c r="A9" s="10"/>
      <c r="B9" s="10"/>
      <c r="C9" s="10"/>
      <c r="D9" s="10"/>
      <c r="E9" s="10"/>
      <c r="F9" s="10"/>
      <c r="G9" s="10"/>
      <c r="H9" s="10"/>
    </row>
    <row r="10" spans="1:8" x14ac:dyDescent="0.2">
      <c r="A10" s="10"/>
      <c r="B10" s="10"/>
      <c r="C10" s="10"/>
      <c r="D10" s="10"/>
      <c r="E10" s="10"/>
      <c r="F10" s="10"/>
      <c r="G10" s="10"/>
      <c r="H10" s="10"/>
    </row>
    <row r="11" spans="1:8" x14ac:dyDescent="0.2">
      <c r="A11" s="10"/>
      <c r="B11" s="10"/>
      <c r="C11" s="10"/>
      <c r="D11" s="10"/>
      <c r="E11" s="10"/>
      <c r="F11" s="10"/>
      <c r="G11" s="10"/>
      <c r="H11" s="10"/>
    </row>
    <row r="12" spans="1:8" x14ac:dyDescent="0.2">
      <c r="A12" s="10"/>
      <c r="B12" s="10"/>
      <c r="C12" s="10"/>
      <c r="D12" s="10"/>
      <c r="E12" s="10"/>
      <c r="F12" s="10"/>
      <c r="G12" s="10"/>
      <c r="H12" s="10"/>
    </row>
    <row r="13" spans="1:8" x14ac:dyDescent="0.2">
      <c r="A13" s="10"/>
      <c r="B13" s="10"/>
      <c r="C13" s="10"/>
      <c r="D13" s="10"/>
      <c r="E13" s="10"/>
      <c r="F13" s="10"/>
      <c r="G13" s="10"/>
      <c r="H13" s="10"/>
    </row>
    <row r="14" spans="1:8" x14ac:dyDescent="0.2">
      <c r="A14" s="10"/>
      <c r="B14" s="10"/>
      <c r="C14" s="10"/>
      <c r="D14" s="10"/>
      <c r="E14" s="10"/>
      <c r="F14" s="10"/>
      <c r="G14" s="10"/>
      <c r="H14" s="10"/>
    </row>
    <row r="15" spans="1:8" x14ac:dyDescent="0.2">
      <c r="A15" s="10"/>
      <c r="B15" s="10"/>
      <c r="C15" s="10"/>
      <c r="D15" s="10"/>
      <c r="E15" s="10"/>
      <c r="F15" s="10"/>
      <c r="G15" s="10"/>
      <c r="H15" s="10"/>
    </row>
    <row r="16" spans="1:8" x14ac:dyDescent="0.2">
      <c r="A16" s="10"/>
      <c r="B16" s="10"/>
      <c r="C16" s="10"/>
      <c r="D16" s="10"/>
      <c r="E16" s="10"/>
      <c r="F16" s="10"/>
      <c r="G16" s="10"/>
      <c r="H16" s="10"/>
    </row>
    <row r="17" spans="1:8" x14ac:dyDescent="0.2">
      <c r="A17" s="10"/>
      <c r="B17" s="10"/>
      <c r="C17" s="10"/>
      <c r="D17" s="10"/>
      <c r="E17" s="10"/>
      <c r="F17" s="10"/>
      <c r="G17" s="10"/>
      <c r="H17" s="10"/>
    </row>
    <row r="18" spans="1:8" x14ac:dyDescent="0.2">
      <c r="A18" s="10"/>
      <c r="B18" s="10"/>
      <c r="C18" s="10"/>
      <c r="D18" s="10"/>
      <c r="E18" s="10"/>
      <c r="F18" s="10"/>
      <c r="G18" s="10"/>
      <c r="H18" s="10"/>
    </row>
    <row r="19" spans="1:8" x14ac:dyDescent="0.2">
      <c r="A19" s="10"/>
      <c r="B19" s="10"/>
      <c r="C19" s="10"/>
      <c r="D19" s="10"/>
      <c r="E19" s="10"/>
      <c r="F19" s="10"/>
      <c r="G19" s="10"/>
      <c r="H19" s="10"/>
    </row>
    <row r="20" spans="1:8" x14ac:dyDescent="0.2">
      <c r="A20" s="10"/>
      <c r="B20" s="10"/>
      <c r="C20" s="10"/>
      <c r="D20" s="10"/>
      <c r="E20" s="10"/>
      <c r="F20" s="10"/>
      <c r="G20" s="10"/>
      <c r="H20" s="10"/>
    </row>
    <row r="21" spans="1:8" x14ac:dyDescent="0.2">
      <c r="A21" s="10"/>
      <c r="B21" s="10"/>
      <c r="C21" s="10"/>
      <c r="D21" s="10"/>
      <c r="E21" s="10"/>
      <c r="F21" s="10"/>
      <c r="G21" s="10"/>
      <c r="H21" s="10"/>
    </row>
    <row r="22" spans="1:8" x14ac:dyDescent="0.2">
      <c r="A22" s="10"/>
      <c r="B22" s="10"/>
      <c r="C22" s="10"/>
      <c r="D22" s="10"/>
      <c r="E22" s="10"/>
      <c r="F22" s="10"/>
      <c r="G22" s="10"/>
      <c r="H22" s="10"/>
    </row>
    <row r="23" spans="1:8" x14ac:dyDescent="0.2">
      <c r="A23" s="10"/>
      <c r="B23" s="10"/>
      <c r="C23" s="10"/>
      <c r="D23" s="10"/>
      <c r="E23" s="10"/>
      <c r="F23" s="10"/>
      <c r="G23" s="10"/>
      <c r="H23" s="10"/>
    </row>
    <row r="24" spans="1:8" x14ac:dyDescent="0.2">
      <c r="A24" s="10"/>
      <c r="B24" s="10"/>
      <c r="C24" s="10"/>
      <c r="D24" s="10"/>
      <c r="E24" s="10"/>
      <c r="F24" s="10"/>
      <c r="G24" s="10"/>
      <c r="H24" s="10"/>
    </row>
    <row r="25" spans="1:8" x14ac:dyDescent="0.2">
      <c r="A25" s="10"/>
      <c r="B25" s="10"/>
      <c r="C25" s="10"/>
      <c r="D25" s="10"/>
      <c r="E25" s="10"/>
      <c r="F25" s="10"/>
      <c r="G25" s="10"/>
      <c r="H25" s="10"/>
    </row>
    <row r="26" spans="1:8" x14ac:dyDescent="0.2">
      <c r="A26" s="10"/>
      <c r="B26" s="10"/>
      <c r="C26" s="10"/>
      <c r="D26" s="10"/>
      <c r="E26" s="10"/>
      <c r="F26" s="10"/>
      <c r="G26" s="10"/>
      <c r="H26" s="10"/>
    </row>
    <row r="27" spans="1:8" x14ac:dyDescent="0.2">
      <c r="A27" s="10"/>
      <c r="B27" s="10"/>
      <c r="C27" s="10"/>
      <c r="D27" s="10"/>
      <c r="E27" s="10"/>
      <c r="F27" s="10"/>
      <c r="G27" s="10"/>
      <c r="H27" s="10"/>
    </row>
    <row r="28" spans="1:8" x14ac:dyDescent="0.2">
      <c r="A28" s="10"/>
      <c r="B28" s="10"/>
      <c r="C28" s="10"/>
      <c r="D28" s="10"/>
      <c r="E28" s="10"/>
      <c r="F28" s="10"/>
      <c r="G28" s="10"/>
      <c r="H28" s="10"/>
    </row>
    <row r="29" spans="1:8" x14ac:dyDescent="0.2">
      <c r="A29" s="10"/>
      <c r="B29" s="10"/>
      <c r="C29" s="10"/>
      <c r="D29" s="10"/>
      <c r="E29" s="10"/>
      <c r="F29" s="10"/>
      <c r="G29" s="10"/>
      <c r="H29" s="10"/>
    </row>
    <row r="30" spans="1:8" x14ac:dyDescent="0.2">
      <c r="A30" s="10"/>
      <c r="B30" s="10"/>
      <c r="C30" s="10"/>
      <c r="D30" s="10"/>
      <c r="E30" s="10"/>
      <c r="F30" s="10"/>
      <c r="G30" s="10"/>
      <c r="H30" s="10"/>
    </row>
    <row r="31" spans="1:8" x14ac:dyDescent="0.2">
      <c r="A31" s="10"/>
      <c r="B31" s="10"/>
      <c r="C31" s="10"/>
      <c r="D31" s="10"/>
      <c r="E31" s="10"/>
      <c r="F31" s="10"/>
      <c r="G31" s="10"/>
      <c r="H31" s="10"/>
    </row>
    <row r="32" spans="1:8" x14ac:dyDescent="0.2">
      <c r="A32" s="10"/>
      <c r="B32" s="10"/>
      <c r="C32" s="10"/>
      <c r="D32" s="10"/>
      <c r="E32" s="10"/>
      <c r="F32" s="10"/>
      <c r="G32" s="10"/>
      <c r="H32" s="10"/>
    </row>
    <row r="33" spans="1:8" x14ac:dyDescent="0.2">
      <c r="A33" s="10"/>
      <c r="B33" s="10"/>
      <c r="C33" s="10"/>
      <c r="D33" s="10"/>
      <c r="E33" s="10"/>
      <c r="F33" s="10"/>
      <c r="G33" s="10"/>
      <c r="H33" s="10"/>
    </row>
    <row r="34" spans="1:8" x14ac:dyDescent="0.2">
      <c r="A34" s="10"/>
      <c r="B34" s="10"/>
      <c r="C34" s="10"/>
      <c r="D34" s="10"/>
      <c r="E34" s="10"/>
      <c r="F34" s="10"/>
      <c r="G34" s="10"/>
      <c r="H34" s="10"/>
    </row>
    <row r="35" spans="1:8" x14ac:dyDescent="0.2">
      <c r="A35" s="10"/>
      <c r="B35" s="10"/>
      <c r="C35" s="10"/>
      <c r="D35" s="10"/>
      <c r="E35" s="10"/>
      <c r="F35" s="10"/>
      <c r="G35" s="10"/>
      <c r="H35" s="10"/>
    </row>
    <row r="36" spans="1:8" x14ac:dyDescent="0.2">
      <c r="A36" s="10"/>
      <c r="B36" s="10"/>
      <c r="C36" s="10"/>
      <c r="D36" s="10"/>
      <c r="E36" s="10"/>
      <c r="F36" s="10"/>
      <c r="G36" s="10"/>
      <c r="H36" s="10"/>
    </row>
    <row r="37" spans="1:8" x14ac:dyDescent="0.2">
      <c r="A37" s="10"/>
      <c r="B37" s="10"/>
      <c r="C37" s="10"/>
      <c r="D37" s="10"/>
      <c r="E37" s="10"/>
      <c r="F37" s="10"/>
      <c r="G37" s="10"/>
      <c r="H37" s="10"/>
    </row>
    <row r="38" spans="1:8" x14ac:dyDescent="0.2">
      <c r="A38" s="10"/>
      <c r="B38" s="10"/>
      <c r="C38" s="10"/>
      <c r="D38" s="10"/>
      <c r="E38" s="10"/>
      <c r="F38" s="10"/>
      <c r="G38" s="10"/>
      <c r="H38" s="10"/>
    </row>
    <row r="39" spans="1:8" x14ac:dyDescent="0.2">
      <c r="A39" s="10"/>
      <c r="B39" s="10"/>
      <c r="C39" s="10"/>
      <c r="D39" s="10"/>
      <c r="E39" s="10"/>
      <c r="F39" s="10"/>
      <c r="G39" s="10"/>
      <c r="H39" s="10"/>
    </row>
    <row r="40" spans="1:8" x14ac:dyDescent="0.2">
      <c r="A40" s="10"/>
      <c r="B40" s="10"/>
      <c r="C40" s="10"/>
      <c r="D40" s="10"/>
      <c r="E40" s="10"/>
      <c r="F40" s="10"/>
      <c r="G40" s="10"/>
      <c r="H40" s="10"/>
    </row>
    <row r="41" spans="1:8" x14ac:dyDescent="0.2">
      <c r="A41" s="10"/>
      <c r="B41" s="10"/>
      <c r="C41" s="10"/>
      <c r="D41" s="10"/>
      <c r="E41" s="10"/>
      <c r="F41" s="10"/>
      <c r="G41" s="10"/>
      <c r="H41" s="10"/>
    </row>
    <row r="42" spans="1:8" x14ac:dyDescent="0.2">
      <c r="A42" s="10"/>
      <c r="B42" s="10"/>
      <c r="C42" s="10"/>
      <c r="D42" s="10"/>
      <c r="E42" s="10"/>
      <c r="F42" s="10"/>
      <c r="G42" s="10"/>
      <c r="H42" s="10"/>
    </row>
    <row r="43" spans="1:8" x14ac:dyDescent="0.2">
      <c r="A43" s="10"/>
      <c r="B43" s="10"/>
      <c r="C43" s="10"/>
      <c r="D43" s="10"/>
      <c r="E43" s="10"/>
      <c r="F43" s="10"/>
      <c r="G43" s="10"/>
      <c r="H43" s="10"/>
    </row>
    <row r="44" spans="1:8" x14ac:dyDescent="0.2">
      <c r="A44" s="10"/>
      <c r="B44" s="10"/>
      <c r="C44" s="10"/>
      <c r="D44" s="10"/>
      <c r="E44" s="10"/>
      <c r="F44" s="10"/>
      <c r="G44" s="10"/>
      <c r="H44" s="10"/>
    </row>
  </sheetData>
  <dataValidations count="1">
    <dataValidation type="list" allowBlank="1" error="Elijan una opción de la lista" sqref="F5:F44" xr:uid="{00000000-0002-0000-0300-000000000000}">
      <formula1>"Correcto,Parcial,Incorrecto,Inventado"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baseColWidth="10" defaultColWidth="8.83203125" defaultRowHeight="15" x14ac:dyDescent="0.2"/>
  <cols>
    <col min="1" max="1" width="48" customWidth="1"/>
    <col min="2" max="2" width="14" customWidth="1"/>
  </cols>
  <sheetData>
    <row r="1" spans="1:2" ht="18" x14ac:dyDescent="0.2">
      <c r="A1" s="6" t="s">
        <v>94</v>
      </c>
    </row>
    <row r="2" spans="1:2" x14ac:dyDescent="0.2">
      <c r="A2" s="7" t="s">
        <v>95</v>
      </c>
    </row>
    <row r="4" spans="1:2" x14ac:dyDescent="0.2">
      <c r="A4" s="11" t="s">
        <v>96</v>
      </c>
      <c r="B4" s="12">
        <f>COUNTA('1. Fuentes'!A5:A44)</f>
        <v>0</v>
      </c>
    </row>
    <row r="5" spans="1:2" x14ac:dyDescent="0.2">
      <c r="A5" s="13" t="s">
        <v>97</v>
      </c>
      <c r="B5" s="12">
        <f>COUNTIF('1. Fuentes'!N5:N44,"Integrada al lago")</f>
        <v>0</v>
      </c>
    </row>
    <row r="6" spans="1:2" x14ac:dyDescent="0.2">
      <c r="A6" s="13" t="s">
        <v>98</v>
      </c>
      <c r="B6" s="12">
        <f>COUNTIF('1. Fuentes'!N5:N44,"Candidata")</f>
        <v>0</v>
      </c>
    </row>
    <row r="7" spans="1:2" x14ac:dyDescent="0.2">
      <c r="A7" s="13" t="s">
        <v>99</v>
      </c>
      <c r="B7" s="12">
        <f>COUNTIF('1. Fuentes'!N5:N44,"No responde")</f>
        <v>0</v>
      </c>
    </row>
    <row r="8" spans="1:2" x14ac:dyDescent="0.2">
      <c r="A8" s="13" t="s">
        <v>100</v>
      </c>
      <c r="B8" s="12">
        <f>COUNTIF('1. Fuentes'!N5:N44,"No existe (la inventó la IA)")</f>
        <v>0</v>
      </c>
    </row>
    <row r="9" spans="1:2" x14ac:dyDescent="0.2">
      <c r="A9" s="13" t="s">
        <v>101</v>
      </c>
      <c r="B9" s="12">
        <f>COUNTIF('1. Fuentes'!N5:N44,"Descartada")</f>
        <v>0</v>
      </c>
    </row>
    <row r="10" spans="1:2" x14ac:dyDescent="0.2">
      <c r="A10" s="11" t="s">
        <v>102</v>
      </c>
      <c r="B10" s="12">
        <f>COUNTIF('1. Fuentes'!H5:H44,"no declara")+COUNTIFS('1. Fuentes'!A5:A44,"&lt;&gt;",'1. Fuentes'!H5:H44,"")</f>
        <v>0</v>
      </c>
    </row>
    <row r="11" spans="1:2" x14ac:dyDescent="0.2">
      <c r="A11" s="11" t="s">
        <v>103</v>
      </c>
      <c r="B11" s="12">
        <f>COUNTIF('1. Fuentes'!I5:I44,"Personas identificables")+COUNTIF('1. Fuentes'!I5:I44,"Texto libre sin revisar")</f>
        <v>0</v>
      </c>
    </row>
    <row r="12" spans="1:2" x14ac:dyDescent="0.2">
      <c r="A12" s="11" t="s">
        <v>104</v>
      </c>
      <c r="B12" s="12">
        <f>COUNTA('2. Diccionario'!C5:C44)</f>
        <v>0</v>
      </c>
    </row>
    <row r="13" spans="1:2" x14ac:dyDescent="0.2">
      <c r="A13" s="13" t="s">
        <v>105</v>
      </c>
      <c r="B13" s="12">
        <f>COUNTIF('2. Diccionario'!K5:K44,"Sensible")+COUNTIF('2. Diccionario'!K5:K44,"Dato personal")</f>
        <v>0</v>
      </c>
    </row>
    <row r="14" spans="1:2" x14ac:dyDescent="0.2">
      <c r="A14" s="13" t="s">
        <v>106</v>
      </c>
      <c r="B14" s="12">
        <f>COUNTIFS('2. Diccionario'!C5:C44,"&lt;&gt;",'2. Diccionario'!M5:M44,"")</f>
        <v>0</v>
      </c>
    </row>
    <row r="15" spans="1:2" x14ac:dyDescent="0.2">
      <c r="A15" s="11" t="s">
        <v>107</v>
      </c>
      <c r="B15" s="12">
        <f>COUNTA('3. Bitácora IA'!C5:C44)</f>
        <v>0</v>
      </c>
    </row>
    <row r="16" spans="1:2" x14ac:dyDescent="0.2">
      <c r="A16" s="13" t="s">
        <v>108</v>
      </c>
      <c r="B16" s="12">
        <f>COUNTIF('3. Bitácora IA'!F5:F44,"Incorrecto")+COUNTIF('3. Bitácora IA'!F5:F44,"Inventado")</f>
        <v>0</v>
      </c>
    </row>
    <row r="17" spans="1:2" x14ac:dyDescent="0.2">
      <c r="A17" s="11" t="s">
        <v>109</v>
      </c>
      <c r="B17" s="14" t="str">
        <f>IF(B15=0,"-",COUNTIF('3. Bitácora IA'!F5:F44,"Correcto")/B15)</f>
        <v>-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1. Fuentes</vt:lpstr>
      <vt:lpstr>2. Diccionario</vt:lpstr>
      <vt:lpstr>3. Bitácora IA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Jimenez Londono</cp:lastModifiedBy>
  <dcterms:created xsi:type="dcterms:W3CDTF">2026-09-28T11:22:59Z</dcterms:created>
  <dcterms:modified xsi:type="dcterms:W3CDTF">2026-09-28T11:38:44Z</dcterms:modified>
</cp:coreProperties>
</file>